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T\WT_OFFICIAL_APPLICATIONS_REPOSITORY\WT_FAIR_FUEL_COMPARE\"/>
    </mc:Choice>
  </mc:AlternateContent>
  <xr:revisionPtr revIDLastSave="0" documentId="8_{FE88BBC7-01E4-4FEB-A85D-23B7EDD87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hicle_data_set" sheetId="3" r:id="rId1"/>
    <sheet name="Proyeccion" sheetId="4" r:id="rId2"/>
    <sheet name="Datos" sheetId="5" r:id="rId3"/>
  </sheets>
  <definedNames>
    <definedName name="_xlnm._FilterDatabase" localSheetId="1" hidden="1">Proyeccion!$G$3:$M$33</definedName>
    <definedName name="_xlnm._FilterDatabase" localSheetId="0" hidden="1">vehicle_data_set!$A$1:$Q$37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4" l="1"/>
  <c r="M1" i="4"/>
  <c r="K1" i="4"/>
  <c r="Q9" i="4"/>
  <c r="R9" i="4"/>
  <c r="P9" i="4"/>
  <c r="E4" i="5"/>
  <c r="E3" i="5"/>
  <c r="E2" i="5"/>
  <c r="Q37" i="3"/>
  <c r="O37" i="3" s="1"/>
  <c r="Q36" i="3"/>
  <c r="O36" i="3" s="1"/>
  <c r="Q35" i="3"/>
  <c r="O35" i="3" s="1"/>
  <c r="Q34" i="3"/>
  <c r="O34" i="3" s="1"/>
  <c r="Q33" i="3"/>
  <c r="O33" i="3" s="1"/>
  <c r="Q32" i="3"/>
  <c r="O32" i="3" s="1"/>
  <c r="Q31" i="3"/>
  <c r="O31" i="3" s="1"/>
  <c r="Q30" i="3"/>
  <c r="O30" i="3" s="1"/>
  <c r="Q29" i="3"/>
  <c r="O29" i="3" s="1"/>
  <c r="Q28" i="3"/>
  <c r="O28" i="3" s="1"/>
  <c r="Q27" i="3"/>
  <c r="O27" i="3" s="1"/>
  <c r="Q26" i="3"/>
  <c r="O26" i="3" s="1"/>
  <c r="Q25" i="3"/>
  <c r="O25" i="3" s="1"/>
  <c r="Q24" i="3"/>
  <c r="O24" i="3" s="1"/>
  <c r="Q23" i="3"/>
  <c r="O23" i="3" s="1"/>
  <c r="Q22" i="3"/>
  <c r="O22" i="3" s="1"/>
  <c r="Q21" i="3"/>
  <c r="O21" i="3" s="1"/>
  <c r="Q20" i="3"/>
  <c r="O20" i="3" s="1"/>
  <c r="Q19" i="3"/>
  <c r="O19" i="3" s="1"/>
  <c r="Q18" i="3"/>
  <c r="O18" i="3" s="1"/>
  <c r="Q17" i="3"/>
  <c r="O17" i="3" s="1"/>
  <c r="Q16" i="3"/>
  <c r="O16" i="3" s="1"/>
  <c r="Q15" i="3"/>
  <c r="O15" i="3"/>
  <c r="Q14" i="3"/>
  <c r="O14" i="3" s="1"/>
  <c r="Q13" i="3"/>
  <c r="O13" i="3" s="1"/>
  <c r="Q12" i="3"/>
  <c r="O12" i="3" s="1"/>
  <c r="Q11" i="3"/>
  <c r="O11" i="3" s="1"/>
  <c r="Q10" i="3"/>
  <c r="O10" i="3" s="1"/>
  <c r="Q9" i="3"/>
  <c r="O9" i="3" s="1"/>
  <c r="Q8" i="3"/>
  <c r="O8" i="3" s="1"/>
  <c r="Q7" i="3"/>
  <c r="O7" i="3" s="1"/>
  <c r="Q6" i="3"/>
  <c r="O6" i="3" s="1"/>
  <c r="Q5" i="3"/>
  <c r="O5" i="3" s="1"/>
  <c r="Q4" i="3"/>
  <c r="O4" i="3" s="1"/>
  <c r="Q3" i="3"/>
  <c r="O3" i="3" s="1"/>
  <c r="Q2" i="3"/>
  <c r="O2" i="3" s="1"/>
</calcChain>
</file>

<file path=xl/sharedStrings.xml><?xml version="1.0" encoding="utf-8"?>
<sst xmlns="http://schemas.openxmlformats.org/spreadsheetml/2006/main" count="442" uniqueCount="40">
  <si>
    <t>TIPO</t>
  </si>
  <si>
    <t>Category</t>
  </si>
  <si>
    <t>Year</t>
  </si>
  <si>
    <t>Technology</t>
  </si>
  <si>
    <t>Energy_Storage_Cost</t>
  </si>
  <si>
    <t>Powertrain_Cost</t>
  </si>
  <si>
    <t>Other_cost</t>
  </si>
  <si>
    <t>Rest_of_Truck_Cost</t>
  </si>
  <si>
    <t>Energy</t>
  </si>
  <si>
    <t>Power</t>
  </si>
  <si>
    <t>Weight</t>
  </si>
  <si>
    <t xml:space="preserve">Daily range </t>
  </si>
  <si>
    <t xml:space="preserve">Total_Payload_Capacity </t>
  </si>
  <si>
    <t xml:space="preserve">Utilization_Total_Payload </t>
  </si>
  <si>
    <t xml:space="preserve">Lifetime </t>
  </si>
  <si>
    <t>Annual_km</t>
  </si>
  <si>
    <t>Maintenance_cost</t>
  </si>
  <si>
    <t>KM Mensual</t>
  </si>
  <si>
    <t>Km Diario</t>
  </si>
  <si>
    <t>LDT</t>
  </si>
  <si>
    <t>ICE-D</t>
  </si>
  <si>
    <t>ICE-NG</t>
  </si>
  <si>
    <t>BET</t>
  </si>
  <si>
    <t>FCET</t>
  </si>
  <si>
    <t>MDT</t>
  </si>
  <si>
    <t>HDT</t>
  </si>
  <si>
    <t>AÑO</t>
  </si>
  <si>
    <t>PLAZA</t>
  </si>
  <si>
    <t>MADRID</t>
  </si>
  <si>
    <t>BARCELONA</t>
  </si>
  <si>
    <t>ALICANTE</t>
  </si>
  <si>
    <t>LA CORUÑA</t>
  </si>
  <si>
    <t>VITORIA</t>
  </si>
  <si>
    <t>Nº Trucks</t>
  </si>
  <si>
    <t>Litros Mes</t>
  </si>
  <si>
    <t>Litros/100 km</t>
  </si>
  <si>
    <t>Km/mes</t>
  </si>
  <si>
    <t>KM/Año</t>
  </si>
  <si>
    <t>CAPEX</t>
  </si>
  <si>
    <t>FLOTA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</si>
</sst>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5" xfId="0" applyFill="1" applyBorder="1"/>
    <xf numFmtId="0" fontId="0" fillId="6" borderId="5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</cellXfs>
  <cellStyles count="5">
    <cellStyle name="Millares 2" xfId="2" xr:uid="{00000000-0005-0000-0000-000000000000}"/>
    <cellStyle name="Millares 3" xfId="3" xr:uid="{00000000-0005-0000-0000-000001000000}"/>
    <cellStyle name="Normal" xfId="0" builtinId="0"/>
    <cellStyle name="Normal 2" xfId="1" xr:uid="{00000000-0005-0000-0000-000003000000}"/>
    <cellStyle name="Porcentual 2" xfId="4" xr:uid="{00000000-0005-0000-0000-000004000000}"/>
  </cellStyles>
  <dxfs count="19"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relativeIndent="0" justifyLastLine="0" shrinkToFit="0" readingOrder="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  <fill>
        <patternFill patternType="solid">
          <fgColor indexed="6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" displayName="Tabla3" ref="A1:R37" totalsRowShown="0" headerRowDxfId="18">
  <autoFilter ref="A1:R37" xr:uid="{00000000-0009-0000-0100-000001000000}"/>
  <tableColumns count="18">
    <tableColumn id="1" xr3:uid="{00000000-0010-0000-0000-000001000000}" name="Category"/>
    <tableColumn id="2" xr3:uid="{00000000-0010-0000-0000-000002000000}" name="Year"/>
    <tableColumn id="3" xr3:uid="{00000000-0010-0000-0000-000003000000}" name="Technology"/>
    <tableColumn id="4" xr3:uid="{00000000-0010-0000-0000-000004000000}" name="Energy_Storage_Cost" dataDxfId="17"/>
    <tableColumn id="5" xr3:uid="{00000000-0010-0000-0000-000005000000}" name="Powertrain_Cost" dataDxfId="16"/>
    <tableColumn id="6" xr3:uid="{00000000-0010-0000-0000-000006000000}" name="Other_cost" dataDxfId="15"/>
    <tableColumn id="7" xr3:uid="{00000000-0010-0000-0000-000007000000}" name="Rest_of_Truck_Cost" dataDxfId="14"/>
    <tableColumn id="8" xr3:uid="{00000000-0010-0000-0000-000008000000}" name="Energy" dataDxfId="13"/>
    <tableColumn id="9" xr3:uid="{00000000-0010-0000-0000-000009000000}" name="Power" dataDxfId="12"/>
    <tableColumn id="10" xr3:uid="{00000000-0010-0000-0000-00000A000000}" name="Weight" dataDxfId="11"/>
    <tableColumn id="11" xr3:uid="{00000000-0010-0000-0000-00000B000000}" name="Daily range " dataDxfId="10"/>
    <tableColumn id="12" xr3:uid="{00000000-0010-0000-0000-00000C000000}" name="Total_Payload_Capacity " dataDxfId="9"/>
    <tableColumn id="13" xr3:uid="{00000000-0010-0000-0000-00000D000000}" name="Utilization_Total_Payload " dataDxfId="8"/>
    <tableColumn id="14" xr3:uid="{00000000-0010-0000-0000-00000E000000}" name="Lifetime " dataDxfId="7"/>
    <tableColumn id="15" xr3:uid="{00000000-0010-0000-0000-00000F000000}" name="Annual_km" dataDxfId="6">
      <calculatedColumnFormula>+Q2*12</calculatedColumnFormula>
    </tableColumn>
    <tableColumn id="16" xr3:uid="{00000000-0010-0000-0000-000010000000}" name="Maintenance_cost" dataDxfId="5"/>
    <tableColumn id="17" xr3:uid="{00000000-0010-0000-0000-000011000000}" name="KM Mensual" dataDxfId="4">
      <calculatedColumnFormula>+R2*21</calculatedColumnFormula>
    </tableColumn>
    <tableColumn id="18" xr3:uid="{00000000-0010-0000-0000-000012000000}" name="Km Diar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E79" totalsRowShown="0" headerRowDxfId="3" dataDxfId="2">
  <autoFilter ref="A1:E79" xr:uid="{00000000-0009-0000-0100-000002000000}"/>
  <sortState xmlns:xlrd2="http://schemas.microsoft.com/office/spreadsheetml/2017/richdata2" ref="A2:E79">
    <sortCondition ref="C1:C79"/>
  </sortState>
  <tableColumns count="5">
    <tableColumn id="1" xr3:uid="{00000000-0010-0000-0100-000001000000}" name="Technology"/>
    <tableColumn id="2" xr3:uid="{00000000-0010-0000-0100-000002000000}" name="AÑO" dataDxfId="1"/>
    <tableColumn id="3" xr3:uid="{00000000-0010-0000-0100-000003000000}" name="PLAZA"/>
    <tableColumn id="8" xr3:uid="{00000000-0010-0000-0100-000008000000}" name="TIPO"/>
    <tableColumn id="4" xr3:uid="{00000000-0010-0000-0100-000004000000}" name="Nº Truc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/>
  </sheetViews>
  <sheetFormatPr defaultColWidth="11.42578125" defaultRowHeight="15" x14ac:dyDescent="0.25"/>
  <cols>
    <col min="2" max="2" width="6.5703125" customWidth="1"/>
    <col min="3" max="3" width="12.28515625" customWidth="1"/>
    <col min="4" max="4" width="20.42578125" style="1" customWidth="1"/>
    <col min="5" max="5" width="16.5703125" style="1" customWidth="1"/>
    <col min="6" max="6" width="12" style="2" customWidth="1"/>
    <col min="7" max="7" width="19.28515625" style="2" customWidth="1"/>
    <col min="8" max="9" width="10.85546875" style="2"/>
    <col min="10" max="10" width="10.85546875" style="1"/>
    <col min="11" max="11" width="12.5703125" style="2" customWidth="1"/>
    <col min="12" max="12" width="23" style="1" customWidth="1"/>
    <col min="13" max="13" width="24.42578125" style="1" customWidth="1"/>
    <col min="14" max="14" width="10.85546875" style="2"/>
    <col min="15" max="15" width="12.28515625" style="2" customWidth="1"/>
    <col min="16" max="16" width="18.140625" style="1" customWidth="1"/>
    <col min="17" max="17" width="13.140625" customWidth="1"/>
  </cols>
  <sheetData>
    <row r="1" spans="1:18" x14ac:dyDescent="0.25">
      <c r="A1" t="s">
        <v>1</v>
      </c>
      <c r="B1" t="s">
        <v>2</v>
      </c>
      <c r="C1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2" t="s">
        <v>14</v>
      </c>
      <c r="O1" s="3" t="s">
        <v>15</v>
      </c>
      <c r="P1" s="1" t="s">
        <v>16</v>
      </c>
      <c r="Q1" s="3" t="s">
        <v>17</v>
      </c>
      <c r="R1" s="3" t="s">
        <v>18</v>
      </c>
    </row>
    <row r="2" spans="1:18" x14ac:dyDescent="0.25">
      <c r="A2" t="s">
        <v>19</v>
      </c>
      <c r="B2">
        <v>2025</v>
      </c>
      <c r="C2" t="s">
        <v>20</v>
      </c>
      <c r="D2" s="1">
        <v>0.21</v>
      </c>
      <c r="E2" s="1">
        <v>40.770000000000003</v>
      </c>
      <c r="F2" s="2">
        <v>2800</v>
      </c>
      <c r="G2" s="2">
        <v>17070</v>
      </c>
      <c r="H2" s="2">
        <v>65</v>
      </c>
      <c r="I2" s="2">
        <v>80</v>
      </c>
      <c r="J2" s="1">
        <v>3.5</v>
      </c>
      <c r="K2" s="2">
        <v>75</v>
      </c>
      <c r="L2" s="1">
        <v>1.5</v>
      </c>
      <c r="M2" s="1">
        <v>0.7</v>
      </c>
      <c r="N2" s="2">
        <v>7</v>
      </c>
      <c r="O2" s="2">
        <f>+Q2*12</f>
        <v>37800</v>
      </c>
      <c r="P2" s="1">
        <v>11</v>
      </c>
      <c r="Q2" s="2">
        <f>+R2*21</f>
        <v>3150</v>
      </c>
      <c r="R2">
        <v>150</v>
      </c>
    </row>
    <row r="3" spans="1:18" x14ac:dyDescent="0.25">
      <c r="A3" t="s">
        <v>19</v>
      </c>
      <c r="B3">
        <v>2025</v>
      </c>
      <c r="C3" t="s">
        <v>21</v>
      </c>
      <c r="D3" s="1">
        <v>4.18</v>
      </c>
      <c r="E3" s="1">
        <v>63.62</v>
      </c>
      <c r="F3" s="2">
        <v>2800</v>
      </c>
      <c r="G3" s="2">
        <v>17070</v>
      </c>
      <c r="H3" s="2">
        <v>67</v>
      </c>
      <c r="I3" s="2">
        <v>80</v>
      </c>
      <c r="J3" s="1">
        <v>3.5</v>
      </c>
      <c r="K3" s="2">
        <v>75</v>
      </c>
      <c r="L3" s="1">
        <v>1.5</v>
      </c>
      <c r="M3" s="1">
        <v>0.7</v>
      </c>
      <c r="N3" s="2">
        <v>7</v>
      </c>
      <c r="O3" s="2">
        <f t="shared" ref="O3:O37" si="0">+Q3*12</f>
        <v>37800</v>
      </c>
      <c r="P3" s="1">
        <v>11</v>
      </c>
      <c r="Q3" s="2">
        <f t="shared" ref="Q3:Q37" si="1">+R3*21</f>
        <v>3150</v>
      </c>
      <c r="R3">
        <v>150</v>
      </c>
    </row>
    <row r="4" spans="1:18" x14ac:dyDescent="0.25">
      <c r="A4" t="s">
        <v>19</v>
      </c>
      <c r="B4">
        <v>2025</v>
      </c>
      <c r="C4" t="s">
        <v>22</v>
      </c>
      <c r="D4" s="1">
        <v>200</v>
      </c>
      <c r="E4" s="1">
        <v>32.5</v>
      </c>
      <c r="F4" s="2">
        <v>2800</v>
      </c>
      <c r="G4" s="2">
        <v>17070</v>
      </c>
      <c r="H4" s="2">
        <v>34</v>
      </c>
      <c r="I4" s="2">
        <v>80</v>
      </c>
      <c r="J4" s="1">
        <v>3.5</v>
      </c>
      <c r="K4" s="2">
        <v>75</v>
      </c>
      <c r="L4" s="1">
        <v>1.5</v>
      </c>
      <c r="M4" s="1">
        <v>0.7</v>
      </c>
      <c r="N4" s="2">
        <v>7</v>
      </c>
      <c r="O4" s="2">
        <f t="shared" si="0"/>
        <v>37800</v>
      </c>
      <c r="P4" s="1">
        <v>7.5</v>
      </c>
      <c r="Q4" s="2">
        <f t="shared" si="1"/>
        <v>3150</v>
      </c>
      <c r="R4">
        <v>150</v>
      </c>
    </row>
    <row r="5" spans="1:18" x14ac:dyDescent="0.25">
      <c r="A5" t="s">
        <v>19</v>
      </c>
      <c r="B5">
        <v>2025</v>
      </c>
      <c r="C5" t="s">
        <v>23</v>
      </c>
      <c r="D5" s="1">
        <v>24</v>
      </c>
      <c r="E5" s="1">
        <v>700</v>
      </c>
      <c r="F5" s="2">
        <v>2800</v>
      </c>
      <c r="G5" s="2">
        <v>17070</v>
      </c>
      <c r="H5" s="2">
        <v>53</v>
      </c>
      <c r="I5" s="2">
        <v>80</v>
      </c>
      <c r="J5" s="1">
        <v>3.5</v>
      </c>
      <c r="K5" s="2">
        <v>75</v>
      </c>
      <c r="L5" s="1">
        <v>1.5</v>
      </c>
      <c r="M5" s="1">
        <v>0.7</v>
      </c>
      <c r="N5" s="2">
        <v>7</v>
      </c>
      <c r="O5" s="2">
        <f t="shared" si="0"/>
        <v>37800</v>
      </c>
      <c r="P5" s="1">
        <v>11</v>
      </c>
      <c r="Q5" s="2">
        <f t="shared" si="1"/>
        <v>3150</v>
      </c>
      <c r="R5">
        <v>150</v>
      </c>
    </row>
    <row r="6" spans="1:18" x14ac:dyDescent="0.25">
      <c r="A6" t="s">
        <v>24</v>
      </c>
      <c r="B6">
        <v>2025</v>
      </c>
      <c r="C6" t="s">
        <v>20</v>
      </c>
      <c r="D6" s="1">
        <v>0.252</v>
      </c>
      <c r="E6" s="1">
        <v>48924</v>
      </c>
      <c r="F6" s="2">
        <v>3360</v>
      </c>
      <c r="G6" s="2">
        <v>20484</v>
      </c>
      <c r="H6" s="2">
        <v>322</v>
      </c>
      <c r="I6" s="2">
        <v>151</v>
      </c>
      <c r="J6" s="1">
        <v>7.5</v>
      </c>
      <c r="K6" s="2">
        <v>200</v>
      </c>
      <c r="L6" s="1">
        <v>1.8</v>
      </c>
      <c r="M6" s="1">
        <v>0.6</v>
      </c>
      <c r="N6" s="2">
        <v>7</v>
      </c>
      <c r="O6" s="2">
        <f t="shared" si="0"/>
        <v>45360</v>
      </c>
      <c r="P6" s="1">
        <v>15.77</v>
      </c>
      <c r="Q6" s="2">
        <f t="shared" si="1"/>
        <v>3780</v>
      </c>
      <c r="R6">
        <v>180</v>
      </c>
    </row>
    <row r="7" spans="1:18" x14ac:dyDescent="0.25">
      <c r="A7" t="s">
        <v>24</v>
      </c>
      <c r="B7">
        <v>2025</v>
      </c>
      <c r="C7" t="s">
        <v>21</v>
      </c>
      <c r="D7" s="1">
        <v>5016</v>
      </c>
      <c r="E7" s="1">
        <v>76344</v>
      </c>
      <c r="F7" s="2">
        <v>3360</v>
      </c>
      <c r="G7" s="2">
        <v>20484</v>
      </c>
      <c r="H7" s="2">
        <v>322</v>
      </c>
      <c r="I7" s="2">
        <v>151</v>
      </c>
      <c r="J7" s="1">
        <v>7.5</v>
      </c>
      <c r="K7" s="2">
        <v>200</v>
      </c>
      <c r="L7" s="1">
        <v>1.8</v>
      </c>
      <c r="M7" s="1">
        <v>0.6</v>
      </c>
      <c r="N7" s="2">
        <v>7</v>
      </c>
      <c r="O7" s="2">
        <f t="shared" si="0"/>
        <v>45360</v>
      </c>
      <c r="P7" s="1">
        <v>15.77</v>
      </c>
      <c r="Q7" s="2">
        <f t="shared" si="1"/>
        <v>3780</v>
      </c>
      <c r="R7">
        <v>180</v>
      </c>
    </row>
    <row r="8" spans="1:18" x14ac:dyDescent="0.25">
      <c r="A8" t="s">
        <v>24</v>
      </c>
      <c r="B8">
        <v>2025</v>
      </c>
      <c r="C8" t="s">
        <v>22</v>
      </c>
      <c r="D8" s="1">
        <v>200</v>
      </c>
      <c r="E8" s="1">
        <v>39</v>
      </c>
      <c r="F8" s="2">
        <v>3360</v>
      </c>
      <c r="G8" s="2">
        <v>20484</v>
      </c>
      <c r="H8" s="2">
        <v>168</v>
      </c>
      <c r="I8" s="2">
        <v>151</v>
      </c>
      <c r="J8" s="1">
        <v>7.5</v>
      </c>
      <c r="K8" s="2">
        <v>200</v>
      </c>
      <c r="L8" s="1">
        <v>1.8</v>
      </c>
      <c r="M8" s="1">
        <v>0.6</v>
      </c>
      <c r="N8" s="2">
        <v>7</v>
      </c>
      <c r="O8" s="2">
        <f t="shared" si="0"/>
        <v>45360</v>
      </c>
      <c r="P8" s="1">
        <v>10.51</v>
      </c>
      <c r="Q8" s="2">
        <f t="shared" si="1"/>
        <v>3780</v>
      </c>
      <c r="R8">
        <v>180</v>
      </c>
    </row>
    <row r="9" spans="1:18" x14ac:dyDescent="0.25">
      <c r="A9" t="s">
        <v>24</v>
      </c>
      <c r="B9">
        <v>2025</v>
      </c>
      <c r="C9" t="s">
        <v>23</v>
      </c>
      <c r="D9" s="1">
        <v>28.8</v>
      </c>
      <c r="E9" s="1">
        <v>700</v>
      </c>
      <c r="F9" s="2">
        <v>3360</v>
      </c>
      <c r="G9" s="2">
        <v>20484</v>
      </c>
      <c r="H9" s="2">
        <v>263</v>
      </c>
      <c r="I9" s="2">
        <v>151</v>
      </c>
      <c r="J9" s="1">
        <v>7.5</v>
      </c>
      <c r="K9" s="2">
        <v>200</v>
      </c>
      <c r="L9" s="1">
        <v>1.8</v>
      </c>
      <c r="M9" s="1">
        <v>0.6</v>
      </c>
      <c r="N9" s="2">
        <v>7</v>
      </c>
      <c r="O9" s="2">
        <f t="shared" si="0"/>
        <v>45360</v>
      </c>
      <c r="P9" s="1">
        <v>16.32</v>
      </c>
      <c r="Q9" s="2">
        <f t="shared" si="1"/>
        <v>3780</v>
      </c>
      <c r="R9">
        <v>180</v>
      </c>
    </row>
    <row r="10" spans="1:18" x14ac:dyDescent="0.25">
      <c r="A10" t="s">
        <v>25</v>
      </c>
      <c r="B10">
        <v>2025</v>
      </c>
      <c r="C10" t="s">
        <v>20</v>
      </c>
      <c r="D10" s="1">
        <v>0.27300000000000002</v>
      </c>
      <c r="E10" s="1">
        <v>53001</v>
      </c>
      <c r="F10" s="2">
        <v>3640</v>
      </c>
      <c r="G10" s="2">
        <v>22191</v>
      </c>
      <c r="H10" s="2">
        <v>2600</v>
      </c>
      <c r="I10" s="2">
        <v>343</v>
      </c>
      <c r="J10" s="1">
        <v>32</v>
      </c>
      <c r="K10" s="2">
        <v>97.5</v>
      </c>
      <c r="L10" s="1">
        <v>14</v>
      </c>
      <c r="M10" s="1">
        <v>0.65</v>
      </c>
      <c r="N10" s="2">
        <v>7</v>
      </c>
      <c r="O10" s="2">
        <f t="shared" si="0"/>
        <v>88200</v>
      </c>
      <c r="P10" s="1">
        <v>18.5</v>
      </c>
      <c r="Q10" s="2">
        <f t="shared" si="1"/>
        <v>7350</v>
      </c>
      <c r="R10">
        <v>350</v>
      </c>
    </row>
    <row r="11" spans="1:18" x14ac:dyDescent="0.25">
      <c r="A11" t="s">
        <v>25</v>
      </c>
      <c r="B11">
        <v>2025</v>
      </c>
      <c r="C11" t="s">
        <v>21</v>
      </c>
      <c r="D11" s="1">
        <v>5434</v>
      </c>
      <c r="E11" s="1">
        <v>82706</v>
      </c>
      <c r="F11" s="2">
        <v>3640</v>
      </c>
      <c r="G11" s="2">
        <v>22191</v>
      </c>
      <c r="H11" s="2">
        <v>2677</v>
      </c>
      <c r="I11" s="2">
        <v>343</v>
      </c>
      <c r="J11" s="1">
        <v>32</v>
      </c>
      <c r="K11" s="2">
        <v>97.5</v>
      </c>
      <c r="L11" s="1">
        <v>14</v>
      </c>
      <c r="M11" s="1">
        <v>0.65</v>
      </c>
      <c r="N11" s="2">
        <v>7</v>
      </c>
      <c r="O11" s="2">
        <f t="shared" si="0"/>
        <v>88200</v>
      </c>
      <c r="P11" s="1">
        <v>18.5</v>
      </c>
      <c r="Q11" s="2">
        <f t="shared" si="1"/>
        <v>7350</v>
      </c>
      <c r="R11">
        <v>350</v>
      </c>
    </row>
    <row r="12" spans="1:18" x14ac:dyDescent="0.25">
      <c r="A12" t="s">
        <v>25</v>
      </c>
      <c r="B12">
        <v>2025</v>
      </c>
      <c r="C12" t="s">
        <v>22</v>
      </c>
      <c r="D12" s="1">
        <v>200</v>
      </c>
      <c r="E12" s="1">
        <v>42.25</v>
      </c>
      <c r="F12" s="2">
        <v>3640</v>
      </c>
      <c r="G12" s="2">
        <v>22191</v>
      </c>
      <c r="H12" s="2">
        <v>1354</v>
      </c>
      <c r="I12" s="2">
        <v>343</v>
      </c>
      <c r="J12" s="1">
        <v>32</v>
      </c>
      <c r="K12" s="2">
        <v>97.5</v>
      </c>
      <c r="L12" s="1">
        <v>14</v>
      </c>
      <c r="M12" s="1">
        <v>0.65</v>
      </c>
      <c r="N12" s="2">
        <v>7</v>
      </c>
      <c r="O12" s="2">
        <f t="shared" si="0"/>
        <v>88200</v>
      </c>
      <c r="P12" s="1">
        <v>13.24</v>
      </c>
      <c r="Q12" s="2">
        <f t="shared" si="1"/>
        <v>7350</v>
      </c>
      <c r="R12">
        <v>350</v>
      </c>
    </row>
    <row r="13" spans="1:18" x14ac:dyDescent="0.25">
      <c r="A13" t="s">
        <v>25</v>
      </c>
      <c r="B13">
        <v>2025</v>
      </c>
      <c r="C13" t="s">
        <v>23</v>
      </c>
      <c r="D13" s="1">
        <v>31.2</v>
      </c>
      <c r="E13" s="1">
        <v>700</v>
      </c>
      <c r="F13" s="2">
        <v>3640</v>
      </c>
      <c r="G13" s="2">
        <v>22191</v>
      </c>
      <c r="H13" s="2">
        <v>2116</v>
      </c>
      <c r="I13" s="2">
        <v>343</v>
      </c>
      <c r="J13" s="1">
        <v>32</v>
      </c>
      <c r="K13" s="2">
        <v>97.5</v>
      </c>
      <c r="L13" s="1">
        <v>14</v>
      </c>
      <c r="M13" s="1">
        <v>0.65</v>
      </c>
      <c r="N13" s="2">
        <v>7</v>
      </c>
      <c r="O13" s="2">
        <f t="shared" si="0"/>
        <v>88200</v>
      </c>
      <c r="P13" s="1">
        <v>19.600000000000001</v>
      </c>
      <c r="Q13" s="2">
        <f t="shared" si="1"/>
        <v>7350</v>
      </c>
      <c r="R13">
        <v>350</v>
      </c>
    </row>
    <row r="14" spans="1:18" x14ac:dyDescent="0.25">
      <c r="A14" t="s">
        <v>19</v>
      </c>
      <c r="B14">
        <v>2030</v>
      </c>
      <c r="C14" t="s">
        <v>20</v>
      </c>
      <c r="D14" s="1">
        <v>0.21</v>
      </c>
      <c r="E14" s="1">
        <v>40.770000000000003</v>
      </c>
      <c r="F14" s="2">
        <v>2800</v>
      </c>
      <c r="G14" s="2">
        <v>17070</v>
      </c>
      <c r="H14" s="2">
        <v>65</v>
      </c>
      <c r="I14" s="2">
        <v>80</v>
      </c>
      <c r="J14" s="1">
        <v>3.5</v>
      </c>
      <c r="K14" s="2">
        <v>75</v>
      </c>
      <c r="L14" s="1">
        <v>1.5</v>
      </c>
      <c r="M14" s="1">
        <v>0.7</v>
      </c>
      <c r="N14" s="2">
        <v>7</v>
      </c>
      <c r="O14" s="2">
        <f t="shared" si="0"/>
        <v>37800</v>
      </c>
      <c r="P14" s="1">
        <v>11</v>
      </c>
      <c r="Q14" s="2">
        <f t="shared" si="1"/>
        <v>3150</v>
      </c>
      <c r="R14">
        <v>150</v>
      </c>
    </row>
    <row r="15" spans="1:18" x14ac:dyDescent="0.25">
      <c r="A15" t="s">
        <v>19</v>
      </c>
      <c r="B15">
        <v>2030</v>
      </c>
      <c r="C15" t="s">
        <v>21</v>
      </c>
      <c r="D15" s="1">
        <v>4.18</v>
      </c>
      <c r="E15" s="1">
        <v>63.62</v>
      </c>
      <c r="F15" s="2">
        <v>2800</v>
      </c>
      <c r="G15" s="2">
        <v>17070</v>
      </c>
      <c r="H15" s="2">
        <v>67</v>
      </c>
      <c r="I15" s="2">
        <v>80</v>
      </c>
      <c r="J15" s="1">
        <v>3.5</v>
      </c>
      <c r="K15" s="2">
        <v>75</v>
      </c>
      <c r="L15" s="1">
        <v>1.5</v>
      </c>
      <c r="M15" s="1">
        <v>0.7</v>
      </c>
      <c r="N15" s="2">
        <v>7</v>
      </c>
      <c r="O15" s="2">
        <f t="shared" si="0"/>
        <v>37800</v>
      </c>
      <c r="P15" s="1">
        <v>11</v>
      </c>
      <c r="Q15" s="2">
        <f t="shared" si="1"/>
        <v>3150</v>
      </c>
      <c r="R15">
        <v>150</v>
      </c>
    </row>
    <row r="16" spans="1:18" x14ac:dyDescent="0.25">
      <c r="A16" t="s">
        <v>19</v>
      </c>
      <c r="B16">
        <v>2030</v>
      </c>
      <c r="C16" t="s">
        <v>22</v>
      </c>
      <c r="D16" s="1">
        <v>118</v>
      </c>
      <c r="E16" s="1">
        <v>32.5</v>
      </c>
      <c r="F16" s="2">
        <v>2800</v>
      </c>
      <c r="G16" s="2">
        <v>17070</v>
      </c>
      <c r="H16" s="2">
        <v>34</v>
      </c>
      <c r="I16" s="2">
        <v>80</v>
      </c>
      <c r="J16" s="1">
        <v>3.5</v>
      </c>
      <c r="K16" s="2">
        <v>75</v>
      </c>
      <c r="L16" s="1">
        <v>1.5</v>
      </c>
      <c r="M16" s="1">
        <v>0.7</v>
      </c>
      <c r="N16" s="2">
        <v>7</v>
      </c>
      <c r="O16" s="2">
        <f t="shared" si="0"/>
        <v>37800</v>
      </c>
      <c r="P16" s="1">
        <v>7.5</v>
      </c>
      <c r="Q16" s="2">
        <f t="shared" si="1"/>
        <v>3150</v>
      </c>
      <c r="R16">
        <v>150</v>
      </c>
    </row>
    <row r="17" spans="1:18" x14ac:dyDescent="0.25">
      <c r="A17" t="s">
        <v>19</v>
      </c>
      <c r="B17">
        <v>2030</v>
      </c>
      <c r="C17" t="s">
        <v>23</v>
      </c>
      <c r="D17" s="1">
        <v>24</v>
      </c>
      <c r="E17" s="1">
        <v>289</v>
      </c>
      <c r="F17" s="2">
        <v>2800</v>
      </c>
      <c r="G17" s="2">
        <v>17070</v>
      </c>
      <c r="H17" s="2">
        <v>53</v>
      </c>
      <c r="I17" s="2">
        <v>80</v>
      </c>
      <c r="J17" s="1">
        <v>3.5</v>
      </c>
      <c r="K17" s="2">
        <v>75</v>
      </c>
      <c r="L17" s="1">
        <v>1.5</v>
      </c>
      <c r="M17" s="1">
        <v>0.7</v>
      </c>
      <c r="N17" s="2">
        <v>7</v>
      </c>
      <c r="O17" s="2">
        <f t="shared" si="0"/>
        <v>37800</v>
      </c>
      <c r="P17" s="1">
        <v>11</v>
      </c>
      <c r="Q17" s="2">
        <f t="shared" si="1"/>
        <v>3150</v>
      </c>
      <c r="R17">
        <v>150</v>
      </c>
    </row>
    <row r="18" spans="1:18" x14ac:dyDescent="0.25">
      <c r="A18" t="s">
        <v>24</v>
      </c>
      <c r="B18">
        <v>2030</v>
      </c>
      <c r="C18" t="s">
        <v>20</v>
      </c>
      <c r="D18" s="1">
        <v>0.21</v>
      </c>
      <c r="E18" s="1">
        <v>40.770000000000003</v>
      </c>
      <c r="F18" s="2">
        <v>2800</v>
      </c>
      <c r="G18" s="2">
        <v>20484</v>
      </c>
      <c r="H18" s="2">
        <v>322</v>
      </c>
      <c r="I18" s="2">
        <v>151</v>
      </c>
      <c r="J18" s="1">
        <v>7.5</v>
      </c>
      <c r="K18" s="2">
        <v>200</v>
      </c>
      <c r="L18" s="1">
        <v>1.5</v>
      </c>
      <c r="M18" s="1">
        <v>0.5</v>
      </c>
      <c r="N18" s="2">
        <v>7</v>
      </c>
      <c r="O18" s="2">
        <f t="shared" si="0"/>
        <v>45360</v>
      </c>
      <c r="P18" s="1">
        <v>15.77</v>
      </c>
      <c r="Q18" s="2">
        <f t="shared" si="1"/>
        <v>3780</v>
      </c>
      <c r="R18">
        <v>180</v>
      </c>
    </row>
    <row r="19" spans="1:18" x14ac:dyDescent="0.25">
      <c r="A19" t="s">
        <v>24</v>
      </c>
      <c r="B19">
        <v>2030</v>
      </c>
      <c r="C19" t="s">
        <v>21</v>
      </c>
      <c r="D19" s="1">
        <v>4.18</v>
      </c>
      <c r="E19" s="1">
        <v>63.62</v>
      </c>
      <c r="F19" s="2">
        <v>2800</v>
      </c>
      <c r="G19" s="2">
        <v>20484</v>
      </c>
      <c r="H19" s="2">
        <v>322</v>
      </c>
      <c r="I19" s="2">
        <v>151</v>
      </c>
      <c r="J19" s="1">
        <v>7.5</v>
      </c>
      <c r="K19" s="2">
        <v>200</v>
      </c>
      <c r="L19" s="1">
        <v>1.5</v>
      </c>
      <c r="M19" s="1">
        <v>0.5</v>
      </c>
      <c r="N19" s="2">
        <v>7</v>
      </c>
      <c r="O19" s="2">
        <f t="shared" si="0"/>
        <v>45360</v>
      </c>
      <c r="P19" s="1">
        <v>15.77</v>
      </c>
      <c r="Q19" s="2">
        <f t="shared" si="1"/>
        <v>3780</v>
      </c>
      <c r="R19">
        <v>180</v>
      </c>
    </row>
    <row r="20" spans="1:18" x14ac:dyDescent="0.25">
      <c r="A20" t="s">
        <v>24</v>
      </c>
      <c r="B20">
        <v>2030</v>
      </c>
      <c r="C20" t="s">
        <v>22</v>
      </c>
      <c r="D20" s="1">
        <v>118</v>
      </c>
      <c r="E20" s="1">
        <v>32.5</v>
      </c>
      <c r="F20" s="2">
        <v>2800</v>
      </c>
      <c r="G20" s="2">
        <v>20484</v>
      </c>
      <c r="H20" s="2">
        <v>168</v>
      </c>
      <c r="I20" s="2">
        <v>151</v>
      </c>
      <c r="J20" s="1">
        <v>7.5</v>
      </c>
      <c r="K20" s="2">
        <v>200</v>
      </c>
      <c r="L20" s="1">
        <v>1.5</v>
      </c>
      <c r="M20" s="1">
        <v>0.5</v>
      </c>
      <c r="N20" s="2">
        <v>7</v>
      </c>
      <c r="O20" s="2">
        <f t="shared" si="0"/>
        <v>45360</v>
      </c>
      <c r="P20" s="1">
        <v>10.51</v>
      </c>
      <c r="Q20" s="2">
        <f t="shared" si="1"/>
        <v>3780</v>
      </c>
      <c r="R20">
        <v>180</v>
      </c>
    </row>
    <row r="21" spans="1:18" x14ac:dyDescent="0.25">
      <c r="A21" t="s">
        <v>24</v>
      </c>
      <c r="B21">
        <v>2030</v>
      </c>
      <c r="C21" t="s">
        <v>23</v>
      </c>
      <c r="D21" s="1">
        <v>24</v>
      </c>
      <c r="E21" s="1">
        <v>289</v>
      </c>
      <c r="F21" s="2">
        <v>2800</v>
      </c>
      <c r="G21" s="2">
        <v>20484</v>
      </c>
      <c r="H21" s="2">
        <v>263</v>
      </c>
      <c r="I21" s="2">
        <v>151</v>
      </c>
      <c r="J21" s="1">
        <v>7.5</v>
      </c>
      <c r="K21" s="2">
        <v>200</v>
      </c>
      <c r="L21" s="1">
        <v>1.5</v>
      </c>
      <c r="M21" s="1">
        <v>0.5</v>
      </c>
      <c r="N21" s="2">
        <v>7</v>
      </c>
      <c r="O21" s="2">
        <f t="shared" si="0"/>
        <v>45360</v>
      </c>
      <c r="P21" s="1">
        <v>16.32</v>
      </c>
      <c r="Q21" s="2">
        <f t="shared" si="1"/>
        <v>3780</v>
      </c>
      <c r="R21">
        <v>180</v>
      </c>
    </row>
    <row r="22" spans="1:18" x14ac:dyDescent="0.25">
      <c r="A22" t="s">
        <v>25</v>
      </c>
      <c r="B22">
        <v>2030</v>
      </c>
      <c r="C22" t="s">
        <v>20</v>
      </c>
      <c r="D22" s="1">
        <v>0.21</v>
      </c>
      <c r="E22" s="1">
        <v>40.770000000000003</v>
      </c>
      <c r="F22" s="2">
        <v>2800</v>
      </c>
      <c r="G22" s="2">
        <v>22191</v>
      </c>
      <c r="H22" s="2">
        <v>2600</v>
      </c>
      <c r="I22" s="2">
        <v>343</v>
      </c>
      <c r="J22" s="1">
        <v>32</v>
      </c>
      <c r="K22" s="2">
        <v>75</v>
      </c>
      <c r="L22" s="1">
        <v>14</v>
      </c>
      <c r="M22" s="1">
        <v>0.5</v>
      </c>
      <c r="N22" s="2">
        <v>7</v>
      </c>
      <c r="O22" s="2">
        <f t="shared" si="0"/>
        <v>88200</v>
      </c>
      <c r="P22" s="1">
        <v>18.5</v>
      </c>
      <c r="Q22" s="2">
        <f t="shared" si="1"/>
        <v>7350</v>
      </c>
      <c r="R22">
        <v>350</v>
      </c>
    </row>
    <row r="23" spans="1:18" x14ac:dyDescent="0.25">
      <c r="A23" t="s">
        <v>25</v>
      </c>
      <c r="B23">
        <v>2030</v>
      </c>
      <c r="C23" t="s">
        <v>21</v>
      </c>
      <c r="D23" s="1">
        <v>4.18</v>
      </c>
      <c r="E23" s="1">
        <v>63.62</v>
      </c>
      <c r="F23" s="2">
        <v>2800</v>
      </c>
      <c r="G23" s="2">
        <v>22191</v>
      </c>
      <c r="H23" s="2">
        <v>2677</v>
      </c>
      <c r="I23" s="2">
        <v>343</v>
      </c>
      <c r="J23" s="1">
        <v>32</v>
      </c>
      <c r="K23" s="2">
        <v>75</v>
      </c>
      <c r="L23" s="1">
        <v>14</v>
      </c>
      <c r="M23" s="1">
        <v>0.5</v>
      </c>
      <c r="N23" s="2">
        <v>7</v>
      </c>
      <c r="O23" s="2">
        <f t="shared" si="0"/>
        <v>88200</v>
      </c>
      <c r="P23" s="1">
        <v>18.5</v>
      </c>
      <c r="Q23" s="2">
        <f t="shared" si="1"/>
        <v>7350</v>
      </c>
      <c r="R23">
        <v>350</v>
      </c>
    </row>
    <row r="24" spans="1:18" x14ac:dyDescent="0.25">
      <c r="A24" t="s">
        <v>25</v>
      </c>
      <c r="B24">
        <v>2030</v>
      </c>
      <c r="C24" t="s">
        <v>22</v>
      </c>
      <c r="D24" s="1">
        <v>118</v>
      </c>
      <c r="E24" s="1">
        <v>32.5</v>
      </c>
      <c r="F24" s="2">
        <v>2800</v>
      </c>
      <c r="G24" s="2">
        <v>22191</v>
      </c>
      <c r="H24" s="2">
        <v>1354</v>
      </c>
      <c r="I24" s="2">
        <v>343</v>
      </c>
      <c r="J24" s="1">
        <v>32</v>
      </c>
      <c r="K24" s="2">
        <v>75</v>
      </c>
      <c r="L24" s="1">
        <v>14</v>
      </c>
      <c r="M24" s="1">
        <v>0.5</v>
      </c>
      <c r="N24" s="2">
        <v>7</v>
      </c>
      <c r="O24" s="2">
        <f t="shared" si="0"/>
        <v>88200</v>
      </c>
      <c r="P24" s="1">
        <v>13.24</v>
      </c>
      <c r="Q24" s="2">
        <f t="shared" si="1"/>
        <v>7350</v>
      </c>
      <c r="R24">
        <v>350</v>
      </c>
    </row>
    <row r="25" spans="1:18" x14ac:dyDescent="0.25">
      <c r="A25" t="s">
        <v>25</v>
      </c>
      <c r="B25">
        <v>2030</v>
      </c>
      <c r="C25" t="s">
        <v>23</v>
      </c>
      <c r="D25" s="1">
        <v>24</v>
      </c>
      <c r="E25" s="1">
        <v>289</v>
      </c>
      <c r="F25" s="2">
        <v>2800</v>
      </c>
      <c r="G25" s="2">
        <v>22191</v>
      </c>
      <c r="H25" s="2">
        <v>2116</v>
      </c>
      <c r="I25" s="2">
        <v>343</v>
      </c>
      <c r="J25" s="1">
        <v>32</v>
      </c>
      <c r="K25" s="2">
        <v>75</v>
      </c>
      <c r="L25" s="1">
        <v>14</v>
      </c>
      <c r="M25" s="1">
        <v>0.5</v>
      </c>
      <c r="N25" s="2">
        <v>7</v>
      </c>
      <c r="O25" s="2">
        <f t="shared" si="0"/>
        <v>88200</v>
      </c>
      <c r="P25" s="1">
        <v>19.600000000000001</v>
      </c>
      <c r="Q25" s="2">
        <f t="shared" si="1"/>
        <v>7350</v>
      </c>
      <c r="R25">
        <v>350</v>
      </c>
    </row>
    <row r="26" spans="1:18" x14ac:dyDescent="0.25">
      <c r="A26" t="s">
        <v>19</v>
      </c>
      <c r="B26">
        <v>2035</v>
      </c>
      <c r="C26" t="s">
        <v>20</v>
      </c>
      <c r="D26" s="1">
        <v>0.21</v>
      </c>
      <c r="E26" s="1">
        <v>40.770000000000003</v>
      </c>
      <c r="F26" s="2">
        <v>2800</v>
      </c>
      <c r="G26" s="2">
        <v>17070</v>
      </c>
      <c r="H26" s="2">
        <v>65</v>
      </c>
      <c r="I26" s="2">
        <v>80</v>
      </c>
      <c r="J26" s="1">
        <v>3.5</v>
      </c>
      <c r="K26" s="2">
        <v>75</v>
      </c>
      <c r="L26" s="1">
        <v>1.5</v>
      </c>
      <c r="M26" s="1">
        <v>0.7</v>
      </c>
      <c r="N26" s="2">
        <v>7</v>
      </c>
      <c r="O26" s="2">
        <f t="shared" si="0"/>
        <v>37800</v>
      </c>
      <c r="P26" s="1">
        <v>11</v>
      </c>
      <c r="Q26" s="2">
        <f t="shared" si="1"/>
        <v>3150</v>
      </c>
      <c r="R26">
        <v>150</v>
      </c>
    </row>
    <row r="27" spans="1:18" x14ac:dyDescent="0.25">
      <c r="A27" t="s">
        <v>19</v>
      </c>
      <c r="B27">
        <v>2035</v>
      </c>
      <c r="C27" t="s">
        <v>21</v>
      </c>
      <c r="D27" s="1">
        <v>4.18</v>
      </c>
      <c r="E27" s="1">
        <v>63.62</v>
      </c>
      <c r="F27" s="2">
        <v>2800</v>
      </c>
      <c r="G27" s="2">
        <v>17070</v>
      </c>
      <c r="H27" s="2">
        <v>67</v>
      </c>
      <c r="I27" s="2">
        <v>80</v>
      </c>
      <c r="J27" s="1">
        <v>3.5</v>
      </c>
      <c r="K27" s="2">
        <v>75</v>
      </c>
      <c r="L27" s="1">
        <v>1.5</v>
      </c>
      <c r="M27" s="1">
        <v>0.7</v>
      </c>
      <c r="N27" s="2">
        <v>7</v>
      </c>
      <c r="O27" s="2">
        <f t="shared" si="0"/>
        <v>37800</v>
      </c>
      <c r="P27" s="1">
        <v>11</v>
      </c>
      <c r="Q27" s="2">
        <f t="shared" si="1"/>
        <v>3150</v>
      </c>
      <c r="R27">
        <v>150</v>
      </c>
    </row>
    <row r="28" spans="1:18" x14ac:dyDescent="0.25">
      <c r="A28" t="s">
        <v>19</v>
      </c>
      <c r="B28">
        <v>2035</v>
      </c>
      <c r="C28" t="s">
        <v>22</v>
      </c>
      <c r="D28" s="1">
        <v>95</v>
      </c>
      <c r="E28" s="1">
        <v>32.5</v>
      </c>
      <c r="F28" s="2">
        <v>2800</v>
      </c>
      <c r="G28" s="2">
        <v>17070</v>
      </c>
      <c r="H28" s="2">
        <v>34</v>
      </c>
      <c r="I28" s="2">
        <v>80</v>
      </c>
      <c r="J28" s="1">
        <v>3.5</v>
      </c>
      <c r="K28" s="2">
        <v>75</v>
      </c>
      <c r="L28" s="1">
        <v>1.5</v>
      </c>
      <c r="M28" s="1">
        <v>0.7</v>
      </c>
      <c r="N28" s="2">
        <v>7</v>
      </c>
      <c r="O28" s="2">
        <f t="shared" si="0"/>
        <v>37800</v>
      </c>
      <c r="P28" s="1">
        <v>7.5</v>
      </c>
      <c r="Q28" s="2">
        <f t="shared" si="1"/>
        <v>3150</v>
      </c>
      <c r="R28">
        <v>150</v>
      </c>
    </row>
    <row r="29" spans="1:18" x14ac:dyDescent="0.25">
      <c r="A29" t="s">
        <v>19</v>
      </c>
      <c r="B29">
        <v>2035</v>
      </c>
      <c r="C29" t="s">
        <v>23</v>
      </c>
      <c r="D29" s="1">
        <v>24</v>
      </c>
      <c r="E29" s="1">
        <v>232</v>
      </c>
      <c r="F29" s="2">
        <v>2800</v>
      </c>
      <c r="G29" s="2">
        <v>17070</v>
      </c>
      <c r="H29" s="2">
        <v>53</v>
      </c>
      <c r="I29" s="2">
        <v>80</v>
      </c>
      <c r="J29" s="1">
        <v>3.5</v>
      </c>
      <c r="K29" s="2">
        <v>75</v>
      </c>
      <c r="L29" s="1">
        <v>1.5</v>
      </c>
      <c r="M29" s="1">
        <v>0.7</v>
      </c>
      <c r="N29" s="2">
        <v>7</v>
      </c>
      <c r="O29" s="2">
        <f t="shared" si="0"/>
        <v>37800</v>
      </c>
      <c r="P29" s="1">
        <v>11</v>
      </c>
      <c r="Q29" s="2">
        <f t="shared" si="1"/>
        <v>3150</v>
      </c>
      <c r="R29">
        <v>150</v>
      </c>
    </row>
    <row r="30" spans="1:18" x14ac:dyDescent="0.25">
      <c r="A30" t="s">
        <v>24</v>
      </c>
      <c r="B30">
        <v>2035</v>
      </c>
      <c r="C30" t="s">
        <v>20</v>
      </c>
      <c r="D30" s="1">
        <v>0.21</v>
      </c>
      <c r="E30" s="1">
        <v>40.770000000000003</v>
      </c>
      <c r="F30" s="2">
        <v>2800</v>
      </c>
      <c r="G30" s="2">
        <v>20484</v>
      </c>
      <c r="H30" s="2">
        <v>322</v>
      </c>
      <c r="I30" s="2">
        <v>151</v>
      </c>
      <c r="J30" s="1">
        <v>7.5</v>
      </c>
      <c r="K30" s="2">
        <v>200</v>
      </c>
      <c r="L30" s="1">
        <v>1.5</v>
      </c>
      <c r="M30" s="1">
        <v>0.5</v>
      </c>
      <c r="N30" s="2">
        <v>7</v>
      </c>
      <c r="O30" s="2">
        <f t="shared" si="0"/>
        <v>45360</v>
      </c>
      <c r="P30" s="1">
        <v>15.77</v>
      </c>
      <c r="Q30" s="2">
        <f t="shared" si="1"/>
        <v>3780</v>
      </c>
      <c r="R30">
        <v>180</v>
      </c>
    </row>
    <row r="31" spans="1:18" x14ac:dyDescent="0.25">
      <c r="A31" t="s">
        <v>24</v>
      </c>
      <c r="B31">
        <v>2035</v>
      </c>
      <c r="C31" t="s">
        <v>21</v>
      </c>
      <c r="D31" s="1">
        <v>4.18</v>
      </c>
      <c r="E31" s="1">
        <v>63.62</v>
      </c>
      <c r="F31" s="2">
        <v>2800</v>
      </c>
      <c r="G31" s="2">
        <v>20484</v>
      </c>
      <c r="H31" s="2">
        <v>322</v>
      </c>
      <c r="I31" s="2">
        <v>151</v>
      </c>
      <c r="J31" s="1">
        <v>7.5</v>
      </c>
      <c r="K31" s="2">
        <v>200</v>
      </c>
      <c r="L31" s="1">
        <v>1.5</v>
      </c>
      <c r="M31" s="1">
        <v>0.5</v>
      </c>
      <c r="N31" s="2">
        <v>7</v>
      </c>
      <c r="O31" s="2">
        <f t="shared" si="0"/>
        <v>45360</v>
      </c>
      <c r="P31" s="1">
        <v>15.77</v>
      </c>
      <c r="Q31" s="2">
        <f t="shared" si="1"/>
        <v>3780</v>
      </c>
      <c r="R31">
        <v>180</v>
      </c>
    </row>
    <row r="32" spans="1:18" x14ac:dyDescent="0.25">
      <c r="A32" t="s">
        <v>24</v>
      </c>
      <c r="B32">
        <v>2035</v>
      </c>
      <c r="C32" t="s">
        <v>22</v>
      </c>
      <c r="D32" s="1">
        <v>95</v>
      </c>
      <c r="E32" s="1">
        <v>32.5</v>
      </c>
      <c r="F32" s="2">
        <v>2800</v>
      </c>
      <c r="G32" s="2">
        <v>20484</v>
      </c>
      <c r="H32" s="2">
        <v>168</v>
      </c>
      <c r="I32" s="2">
        <v>151</v>
      </c>
      <c r="J32" s="1">
        <v>7.5</v>
      </c>
      <c r="K32" s="2">
        <v>200</v>
      </c>
      <c r="L32" s="1">
        <v>1.5</v>
      </c>
      <c r="M32" s="1">
        <v>0.5</v>
      </c>
      <c r="N32" s="2">
        <v>7</v>
      </c>
      <c r="O32" s="2">
        <f t="shared" si="0"/>
        <v>45360</v>
      </c>
      <c r="P32" s="1">
        <v>10.51</v>
      </c>
      <c r="Q32" s="2">
        <f t="shared" si="1"/>
        <v>3780</v>
      </c>
      <c r="R32">
        <v>180</v>
      </c>
    </row>
    <row r="33" spans="1:18" x14ac:dyDescent="0.25">
      <c r="A33" t="s">
        <v>24</v>
      </c>
      <c r="B33">
        <v>2035</v>
      </c>
      <c r="C33" t="s">
        <v>23</v>
      </c>
      <c r="D33" s="1">
        <v>24</v>
      </c>
      <c r="E33" s="1">
        <v>232</v>
      </c>
      <c r="F33" s="2">
        <v>2800</v>
      </c>
      <c r="G33" s="2">
        <v>20484</v>
      </c>
      <c r="H33" s="2">
        <v>263</v>
      </c>
      <c r="I33" s="2">
        <v>151</v>
      </c>
      <c r="J33" s="1">
        <v>7.5</v>
      </c>
      <c r="K33" s="2">
        <v>200</v>
      </c>
      <c r="L33" s="1">
        <v>1.5</v>
      </c>
      <c r="M33" s="1">
        <v>0.5</v>
      </c>
      <c r="N33" s="2">
        <v>7</v>
      </c>
      <c r="O33" s="2">
        <f t="shared" si="0"/>
        <v>45360</v>
      </c>
      <c r="P33" s="1">
        <v>16.32</v>
      </c>
      <c r="Q33" s="2">
        <f t="shared" si="1"/>
        <v>3780</v>
      </c>
      <c r="R33">
        <v>180</v>
      </c>
    </row>
    <row r="34" spans="1:18" x14ac:dyDescent="0.25">
      <c r="A34" t="s">
        <v>25</v>
      </c>
      <c r="B34">
        <v>2035</v>
      </c>
      <c r="C34" t="s">
        <v>20</v>
      </c>
      <c r="D34" s="1">
        <v>0.21</v>
      </c>
      <c r="E34" s="1">
        <v>40.770000000000003</v>
      </c>
      <c r="F34" s="2">
        <v>2800</v>
      </c>
      <c r="G34" s="2">
        <v>22191</v>
      </c>
      <c r="H34" s="2">
        <v>2600</v>
      </c>
      <c r="I34" s="2">
        <v>343</v>
      </c>
      <c r="J34" s="1">
        <v>32</v>
      </c>
      <c r="K34" s="2">
        <v>75</v>
      </c>
      <c r="L34" s="1">
        <v>14</v>
      </c>
      <c r="M34" s="1">
        <v>0.5</v>
      </c>
      <c r="N34" s="2">
        <v>7</v>
      </c>
      <c r="O34" s="2">
        <f t="shared" si="0"/>
        <v>88200</v>
      </c>
      <c r="P34" s="1">
        <v>18.5</v>
      </c>
      <c r="Q34" s="2">
        <f t="shared" si="1"/>
        <v>7350</v>
      </c>
      <c r="R34">
        <v>350</v>
      </c>
    </row>
    <row r="35" spans="1:18" x14ac:dyDescent="0.25">
      <c r="A35" t="s">
        <v>25</v>
      </c>
      <c r="B35">
        <v>2035</v>
      </c>
      <c r="C35" t="s">
        <v>21</v>
      </c>
      <c r="D35" s="1">
        <v>4.18</v>
      </c>
      <c r="E35" s="1">
        <v>63.62</v>
      </c>
      <c r="F35" s="2">
        <v>2800</v>
      </c>
      <c r="G35" s="2">
        <v>22191</v>
      </c>
      <c r="H35" s="2">
        <v>2677</v>
      </c>
      <c r="I35" s="2">
        <v>343</v>
      </c>
      <c r="J35" s="1">
        <v>32</v>
      </c>
      <c r="K35" s="2">
        <v>75</v>
      </c>
      <c r="L35" s="1">
        <v>14</v>
      </c>
      <c r="M35" s="1">
        <v>0.5</v>
      </c>
      <c r="N35" s="2">
        <v>7</v>
      </c>
      <c r="O35" s="2">
        <f t="shared" si="0"/>
        <v>88200</v>
      </c>
      <c r="P35" s="1">
        <v>18.5</v>
      </c>
      <c r="Q35" s="2">
        <f t="shared" si="1"/>
        <v>7350</v>
      </c>
      <c r="R35">
        <v>350</v>
      </c>
    </row>
    <row r="36" spans="1:18" x14ac:dyDescent="0.25">
      <c r="A36" t="s">
        <v>25</v>
      </c>
      <c r="B36">
        <v>2035</v>
      </c>
      <c r="C36" t="s">
        <v>22</v>
      </c>
      <c r="D36" s="1">
        <v>95</v>
      </c>
      <c r="E36" s="1">
        <v>32.5</v>
      </c>
      <c r="F36" s="2">
        <v>2800</v>
      </c>
      <c r="G36" s="2">
        <v>22191</v>
      </c>
      <c r="H36" s="2">
        <v>1354</v>
      </c>
      <c r="I36" s="2">
        <v>343</v>
      </c>
      <c r="J36" s="1">
        <v>32</v>
      </c>
      <c r="K36" s="2">
        <v>75</v>
      </c>
      <c r="L36" s="1">
        <v>14</v>
      </c>
      <c r="M36" s="1">
        <v>0.5</v>
      </c>
      <c r="N36" s="2">
        <v>7</v>
      </c>
      <c r="O36" s="2">
        <f t="shared" si="0"/>
        <v>88200</v>
      </c>
      <c r="P36" s="1">
        <v>13.24</v>
      </c>
      <c r="Q36" s="2">
        <f t="shared" si="1"/>
        <v>7350</v>
      </c>
      <c r="R36">
        <v>350</v>
      </c>
    </row>
    <row r="37" spans="1:18" x14ac:dyDescent="0.25">
      <c r="A37" t="s">
        <v>25</v>
      </c>
      <c r="B37">
        <v>2035</v>
      </c>
      <c r="C37" t="s">
        <v>23</v>
      </c>
      <c r="D37" s="1">
        <v>24</v>
      </c>
      <c r="E37" s="1">
        <v>232</v>
      </c>
      <c r="F37" s="2">
        <v>2800</v>
      </c>
      <c r="G37" s="2">
        <v>22191</v>
      </c>
      <c r="H37" s="2">
        <v>2116</v>
      </c>
      <c r="I37" s="2">
        <v>343</v>
      </c>
      <c r="J37" s="1">
        <v>32</v>
      </c>
      <c r="K37" s="2">
        <v>75</v>
      </c>
      <c r="L37" s="1">
        <v>14</v>
      </c>
      <c r="M37" s="1">
        <v>0.5</v>
      </c>
      <c r="N37" s="2">
        <v>7</v>
      </c>
      <c r="O37" s="2">
        <f t="shared" si="0"/>
        <v>88200</v>
      </c>
      <c r="P37" s="1">
        <v>19.600000000000001</v>
      </c>
      <c r="Q37" s="2">
        <f t="shared" si="1"/>
        <v>7350</v>
      </c>
      <c r="R37">
        <v>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9"/>
  <sheetViews>
    <sheetView topLeftCell="E1" workbookViewId="0">
      <selection activeCell="O13" sqref="O13"/>
    </sheetView>
  </sheetViews>
  <sheetFormatPr defaultColWidth="11.42578125" defaultRowHeight="15" x14ac:dyDescent="0.25"/>
  <cols>
    <col min="1" max="1" width="12.28515625" customWidth="1"/>
    <col min="2" max="2" width="10.85546875" style="5"/>
  </cols>
  <sheetData>
    <row r="1" spans="1:18" x14ac:dyDescent="0.25">
      <c r="A1" s="4" t="s">
        <v>3</v>
      </c>
      <c r="B1" s="4" t="s">
        <v>26</v>
      </c>
      <c r="C1" s="4" t="s">
        <v>27</v>
      </c>
      <c r="D1" s="4" t="s">
        <v>0</v>
      </c>
      <c r="E1" s="4" t="s">
        <v>33</v>
      </c>
      <c r="H1" s="5"/>
      <c r="K1">
        <f>SUBTOTAL(9,K4:K33)</f>
        <v>198</v>
      </c>
      <c r="L1">
        <f t="shared" ref="L1:M1" si="0">SUBTOTAL(9,L4:L33)</f>
        <v>201</v>
      </c>
      <c r="M1">
        <f t="shared" si="0"/>
        <v>204</v>
      </c>
      <c r="P1" s="14">
        <v>2025</v>
      </c>
      <c r="Q1" s="14">
        <v>2030</v>
      </c>
      <c r="R1" s="14">
        <v>2035</v>
      </c>
    </row>
    <row r="2" spans="1:18" x14ac:dyDescent="0.25">
      <c r="A2" t="s">
        <v>22</v>
      </c>
      <c r="B2" s="5">
        <v>2030</v>
      </c>
      <c r="C2" t="s">
        <v>30</v>
      </c>
      <c r="D2" t="s">
        <v>19</v>
      </c>
      <c r="E2" s="5">
        <v>2</v>
      </c>
      <c r="H2" s="5"/>
      <c r="K2" s="18" t="s">
        <v>33</v>
      </c>
      <c r="L2" s="18"/>
      <c r="M2" s="18"/>
      <c r="O2" s="16" t="s">
        <v>38</v>
      </c>
      <c r="P2" s="15">
        <v>0</v>
      </c>
      <c r="Q2" s="15">
        <v>16</v>
      </c>
      <c r="R2" s="15">
        <v>36</v>
      </c>
    </row>
    <row r="3" spans="1:18" ht="15.75" thickBot="1" x14ac:dyDescent="0.3">
      <c r="A3" t="s">
        <v>22</v>
      </c>
      <c r="B3" s="5">
        <v>2035</v>
      </c>
      <c r="C3" t="s">
        <v>30</v>
      </c>
      <c r="D3" t="s">
        <v>19</v>
      </c>
      <c r="E3" s="5">
        <v>8</v>
      </c>
      <c r="G3" s="6" t="s">
        <v>3</v>
      </c>
      <c r="H3" s="6" t="s">
        <v>26</v>
      </c>
      <c r="I3" s="6" t="s">
        <v>27</v>
      </c>
      <c r="J3" s="6" t="s">
        <v>0</v>
      </c>
      <c r="K3" s="6">
        <v>2025</v>
      </c>
      <c r="L3" s="6">
        <v>2030</v>
      </c>
      <c r="M3" s="6">
        <v>2035</v>
      </c>
    </row>
    <row r="4" spans="1:18" ht="15.75" thickTop="1" x14ac:dyDescent="0.25">
      <c r="A4" t="s">
        <v>22</v>
      </c>
      <c r="B4" s="5">
        <v>2030</v>
      </c>
      <c r="C4" t="s">
        <v>30</v>
      </c>
      <c r="D4" t="s">
        <v>24</v>
      </c>
      <c r="E4" s="5">
        <v>0</v>
      </c>
      <c r="G4" t="s">
        <v>20</v>
      </c>
      <c r="H4" s="5"/>
      <c r="I4" t="s">
        <v>30</v>
      </c>
      <c r="J4" t="s">
        <v>19</v>
      </c>
      <c r="K4">
        <v>15</v>
      </c>
      <c r="L4">
        <v>14</v>
      </c>
      <c r="M4">
        <v>8</v>
      </c>
      <c r="P4" s="14">
        <v>2025</v>
      </c>
      <c r="Q4" s="14">
        <v>2030</v>
      </c>
      <c r="R4" s="14">
        <v>2035</v>
      </c>
    </row>
    <row r="5" spans="1:18" x14ac:dyDescent="0.25">
      <c r="A5" t="s">
        <v>22</v>
      </c>
      <c r="B5" s="5">
        <v>2035</v>
      </c>
      <c r="C5" t="s">
        <v>30</v>
      </c>
      <c r="D5" t="s">
        <v>24</v>
      </c>
      <c r="E5" s="5">
        <v>1</v>
      </c>
      <c r="G5" t="s">
        <v>20</v>
      </c>
      <c r="H5" s="5"/>
      <c r="I5" t="s">
        <v>30</v>
      </c>
      <c r="J5" t="s">
        <v>24</v>
      </c>
      <c r="K5">
        <v>8</v>
      </c>
      <c r="L5">
        <v>8</v>
      </c>
      <c r="M5">
        <v>8</v>
      </c>
      <c r="O5" s="16" t="s">
        <v>20</v>
      </c>
      <c r="P5" s="15">
        <v>196</v>
      </c>
      <c r="Q5" s="15">
        <v>185</v>
      </c>
      <c r="R5" s="15">
        <v>168</v>
      </c>
    </row>
    <row r="6" spans="1:18" x14ac:dyDescent="0.25">
      <c r="A6" t="s">
        <v>22</v>
      </c>
      <c r="B6" s="5">
        <v>2030</v>
      </c>
      <c r="C6" t="s">
        <v>30</v>
      </c>
      <c r="D6" t="s">
        <v>25</v>
      </c>
      <c r="E6" s="5">
        <v>0</v>
      </c>
      <c r="G6" t="s">
        <v>20</v>
      </c>
      <c r="H6" s="5"/>
      <c r="I6" t="s">
        <v>30</v>
      </c>
      <c r="J6" t="s">
        <v>25</v>
      </c>
      <c r="K6">
        <v>8</v>
      </c>
      <c r="L6">
        <v>8</v>
      </c>
      <c r="M6">
        <v>8</v>
      </c>
      <c r="O6" s="16" t="s">
        <v>21</v>
      </c>
      <c r="P6" s="15">
        <v>2</v>
      </c>
      <c r="Q6" s="15">
        <v>13</v>
      </c>
      <c r="R6" s="15">
        <v>20</v>
      </c>
    </row>
    <row r="7" spans="1:18" x14ac:dyDescent="0.25">
      <c r="A7" t="s">
        <v>22</v>
      </c>
      <c r="B7" s="5">
        <v>2035</v>
      </c>
      <c r="C7" t="s">
        <v>30</v>
      </c>
      <c r="D7" t="s">
        <v>25</v>
      </c>
      <c r="E7" s="5">
        <v>0</v>
      </c>
      <c r="G7" t="s">
        <v>22</v>
      </c>
      <c r="H7" s="5"/>
      <c r="I7" t="s">
        <v>30</v>
      </c>
      <c r="J7" t="s">
        <v>19</v>
      </c>
      <c r="K7">
        <v>0</v>
      </c>
      <c r="L7">
        <v>2</v>
      </c>
      <c r="M7">
        <v>8</v>
      </c>
      <c r="O7" s="16" t="s">
        <v>22</v>
      </c>
      <c r="P7" s="15">
        <v>0</v>
      </c>
      <c r="Q7" s="15">
        <v>2</v>
      </c>
      <c r="R7" s="15">
        <v>9</v>
      </c>
    </row>
    <row r="8" spans="1:18" x14ac:dyDescent="0.25">
      <c r="A8" t="s">
        <v>20</v>
      </c>
      <c r="B8" s="5">
        <v>2025</v>
      </c>
      <c r="C8" t="s">
        <v>30</v>
      </c>
      <c r="D8" t="s">
        <v>19</v>
      </c>
      <c r="E8" s="5">
        <v>15</v>
      </c>
      <c r="G8" t="s">
        <v>22</v>
      </c>
      <c r="H8" s="5"/>
      <c r="I8" t="s">
        <v>30</v>
      </c>
      <c r="J8" t="s">
        <v>24</v>
      </c>
      <c r="K8">
        <v>0</v>
      </c>
      <c r="L8">
        <v>0</v>
      </c>
      <c r="M8">
        <v>1</v>
      </c>
      <c r="O8" s="16" t="s">
        <v>23</v>
      </c>
      <c r="P8" s="15">
        <v>0</v>
      </c>
      <c r="Q8" s="15">
        <v>1</v>
      </c>
      <c r="R8" s="15">
        <v>7</v>
      </c>
    </row>
    <row r="9" spans="1:18" x14ac:dyDescent="0.25">
      <c r="A9" t="s">
        <v>20</v>
      </c>
      <c r="B9" s="5">
        <v>2030</v>
      </c>
      <c r="C9" t="s">
        <v>30</v>
      </c>
      <c r="D9" t="s">
        <v>19</v>
      </c>
      <c r="E9" s="5">
        <v>14</v>
      </c>
      <c r="G9" t="s">
        <v>22</v>
      </c>
      <c r="H9" s="5"/>
      <c r="I9" t="s">
        <v>30</v>
      </c>
      <c r="J9" t="s">
        <v>25</v>
      </c>
      <c r="K9">
        <v>0</v>
      </c>
      <c r="L9">
        <v>0</v>
      </c>
      <c r="M9">
        <v>0</v>
      </c>
      <c r="P9" s="17">
        <f>SUM(P5:P8)</f>
        <v>198</v>
      </c>
      <c r="Q9" s="17">
        <f t="shared" ref="Q9:R9" si="1">SUM(Q5:Q8)</f>
        <v>201</v>
      </c>
      <c r="R9" s="17">
        <f t="shared" si="1"/>
        <v>204</v>
      </c>
    </row>
    <row r="10" spans="1:18" x14ac:dyDescent="0.25">
      <c r="A10" t="s">
        <v>20</v>
      </c>
      <c r="B10" s="5">
        <v>2035</v>
      </c>
      <c r="C10" t="s">
        <v>30</v>
      </c>
      <c r="D10" t="s">
        <v>19</v>
      </c>
      <c r="E10" s="5">
        <v>8</v>
      </c>
      <c r="G10" t="s">
        <v>20</v>
      </c>
      <c r="H10" s="5"/>
      <c r="I10" t="s">
        <v>29</v>
      </c>
      <c r="J10" t="s">
        <v>19</v>
      </c>
      <c r="K10">
        <v>24</v>
      </c>
      <c r="L10">
        <v>22</v>
      </c>
      <c r="M10">
        <v>20</v>
      </c>
      <c r="P10" s="19" t="s">
        <v>39</v>
      </c>
      <c r="Q10" s="19"/>
      <c r="R10" s="19"/>
    </row>
    <row r="11" spans="1:18" x14ac:dyDescent="0.25">
      <c r="A11" t="s">
        <v>20</v>
      </c>
      <c r="B11" s="5">
        <v>2025</v>
      </c>
      <c r="C11" t="s">
        <v>30</v>
      </c>
      <c r="D11" t="s">
        <v>24</v>
      </c>
      <c r="E11" s="5">
        <v>8</v>
      </c>
      <c r="G11" t="s">
        <v>20</v>
      </c>
      <c r="H11" s="5"/>
      <c r="I11" t="s">
        <v>29</v>
      </c>
      <c r="J11" t="s">
        <v>24</v>
      </c>
      <c r="K11">
        <v>12</v>
      </c>
      <c r="L11">
        <v>10</v>
      </c>
      <c r="M11">
        <v>10</v>
      </c>
    </row>
    <row r="12" spans="1:18" x14ac:dyDescent="0.25">
      <c r="A12" t="s">
        <v>20</v>
      </c>
      <c r="B12" s="5">
        <v>2030</v>
      </c>
      <c r="C12" t="s">
        <v>30</v>
      </c>
      <c r="D12" t="s">
        <v>24</v>
      </c>
      <c r="E12" s="5">
        <v>8</v>
      </c>
      <c r="G12" t="s">
        <v>20</v>
      </c>
      <c r="H12" s="5"/>
      <c r="I12" t="s">
        <v>29</v>
      </c>
      <c r="J12" t="s">
        <v>25</v>
      </c>
      <c r="K12">
        <v>10</v>
      </c>
      <c r="L12">
        <v>10</v>
      </c>
      <c r="M12">
        <v>9</v>
      </c>
      <c r="P12" s="14">
        <v>2025</v>
      </c>
      <c r="Q12" s="14">
        <v>2030</v>
      </c>
      <c r="R12" s="14">
        <v>2035</v>
      </c>
    </row>
    <row r="13" spans="1:18" x14ac:dyDescent="0.25">
      <c r="A13" t="s">
        <v>20</v>
      </c>
      <c r="B13" s="5">
        <v>2035</v>
      </c>
      <c r="C13" t="s">
        <v>30</v>
      </c>
      <c r="D13" t="s">
        <v>24</v>
      </c>
      <c r="E13" s="5">
        <v>8</v>
      </c>
      <c r="G13" t="s">
        <v>21</v>
      </c>
      <c r="H13" s="5"/>
      <c r="I13" t="s">
        <v>29</v>
      </c>
      <c r="J13" t="s">
        <v>19</v>
      </c>
      <c r="K13">
        <v>0</v>
      </c>
      <c r="L13">
        <v>2</v>
      </c>
      <c r="M13">
        <v>4</v>
      </c>
      <c r="P13" s="17">
        <v>198</v>
      </c>
      <c r="Q13" s="17">
        <v>201</v>
      </c>
      <c r="R13" s="17">
        <v>204</v>
      </c>
    </row>
    <row r="14" spans="1:18" x14ac:dyDescent="0.25">
      <c r="A14" t="s">
        <v>20</v>
      </c>
      <c r="B14" s="5">
        <v>2025</v>
      </c>
      <c r="C14" t="s">
        <v>30</v>
      </c>
      <c r="D14" t="s">
        <v>25</v>
      </c>
      <c r="E14" s="5">
        <v>8</v>
      </c>
      <c r="G14" t="s">
        <v>21</v>
      </c>
      <c r="H14" s="5"/>
      <c r="I14" t="s">
        <v>29</v>
      </c>
      <c r="J14" t="s">
        <v>24</v>
      </c>
      <c r="K14">
        <v>0</v>
      </c>
      <c r="L14">
        <v>2</v>
      </c>
      <c r="M14">
        <v>3</v>
      </c>
    </row>
    <row r="15" spans="1:18" x14ac:dyDescent="0.25">
      <c r="A15" t="s">
        <v>20</v>
      </c>
      <c r="B15" s="5">
        <v>2030</v>
      </c>
      <c r="C15" t="s">
        <v>30</v>
      </c>
      <c r="D15" t="s">
        <v>25</v>
      </c>
      <c r="E15" s="5">
        <v>8</v>
      </c>
      <c r="G15" t="s">
        <v>21</v>
      </c>
      <c r="H15" s="5"/>
      <c r="I15" t="s">
        <v>29</v>
      </c>
      <c r="J15" t="s">
        <v>25</v>
      </c>
      <c r="K15">
        <v>0</v>
      </c>
      <c r="L15">
        <v>1</v>
      </c>
      <c r="M15">
        <v>2</v>
      </c>
    </row>
    <row r="16" spans="1:18" x14ac:dyDescent="0.25">
      <c r="A16" t="s">
        <v>20</v>
      </c>
      <c r="B16" s="5">
        <v>2035</v>
      </c>
      <c r="C16" t="s">
        <v>30</v>
      </c>
      <c r="D16" t="s">
        <v>25</v>
      </c>
      <c r="E16" s="5">
        <v>8</v>
      </c>
      <c r="G16" t="s">
        <v>20</v>
      </c>
      <c r="H16" s="5"/>
      <c r="I16" t="s">
        <v>31</v>
      </c>
      <c r="J16" t="s">
        <v>19</v>
      </c>
      <c r="K16">
        <v>12</v>
      </c>
      <c r="L16">
        <v>12</v>
      </c>
      <c r="M16">
        <v>7</v>
      </c>
    </row>
    <row r="17" spans="1:13" x14ac:dyDescent="0.25">
      <c r="A17" t="s">
        <v>20</v>
      </c>
      <c r="B17" s="5">
        <v>2025</v>
      </c>
      <c r="C17" t="s">
        <v>29</v>
      </c>
      <c r="D17" t="s">
        <v>19</v>
      </c>
      <c r="E17" s="5">
        <v>24</v>
      </c>
      <c r="G17" t="s">
        <v>20</v>
      </c>
      <c r="H17" s="5"/>
      <c r="I17" t="s">
        <v>31</v>
      </c>
      <c r="J17" t="s">
        <v>24</v>
      </c>
      <c r="K17">
        <v>7</v>
      </c>
      <c r="L17">
        <v>7</v>
      </c>
      <c r="M17">
        <v>7</v>
      </c>
    </row>
    <row r="18" spans="1:13" x14ac:dyDescent="0.25">
      <c r="A18" t="s">
        <v>20</v>
      </c>
      <c r="B18" s="5">
        <v>2030</v>
      </c>
      <c r="C18" t="s">
        <v>29</v>
      </c>
      <c r="D18" t="s">
        <v>19</v>
      </c>
      <c r="E18" s="5">
        <v>22</v>
      </c>
      <c r="G18" t="s">
        <v>20</v>
      </c>
      <c r="H18" s="5"/>
      <c r="I18" t="s">
        <v>31</v>
      </c>
      <c r="J18" t="s">
        <v>25</v>
      </c>
      <c r="K18">
        <v>8</v>
      </c>
      <c r="L18">
        <v>8</v>
      </c>
      <c r="M18">
        <v>8</v>
      </c>
    </row>
    <row r="19" spans="1:13" x14ac:dyDescent="0.25">
      <c r="A19" t="s">
        <v>20</v>
      </c>
      <c r="B19" s="5">
        <v>2035</v>
      </c>
      <c r="C19" t="s">
        <v>29</v>
      </c>
      <c r="D19" t="s">
        <v>19</v>
      </c>
      <c r="E19" s="5">
        <v>20</v>
      </c>
      <c r="G19" t="s">
        <v>23</v>
      </c>
      <c r="H19" s="5"/>
      <c r="I19" t="s">
        <v>31</v>
      </c>
      <c r="J19" t="s">
        <v>19</v>
      </c>
      <c r="K19">
        <v>0</v>
      </c>
      <c r="L19">
        <v>1</v>
      </c>
      <c r="M19">
        <v>6</v>
      </c>
    </row>
    <row r="20" spans="1:13" x14ac:dyDescent="0.25">
      <c r="A20" t="s">
        <v>20</v>
      </c>
      <c r="B20" s="5">
        <v>2025</v>
      </c>
      <c r="C20" t="s">
        <v>29</v>
      </c>
      <c r="D20" t="s">
        <v>24</v>
      </c>
      <c r="E20" s="5">
        <v>12</v>
      </c>
      <c r="G20" t="s">
        <v>23</v>
      </c>
      <c r="H20" s="5"/>
      <c r="I20" t="s">
        <v>31</v>
      </c>
      <c r="J20" t="s">
        <v>24</v>
      </c>
      <c r="K20">
        <v>0</v>
      </c>
      <c r="L20">
        <v>0</v>
      </c>
      <c r="M20">
        <v>1</v>
      </c>
    </row>
    <row r="21" spans="1:13" x14ac:dyDescent="0.25">
      <c r="A21" t="s">
        <v>20</v>
      </c>
      <c r="B21" s="5">
        <v>2030</v>
      </c>
      <c r="C21" t="s">
        <v>29</v>
      </c>
      <c r="D21" t="s">
        <v>24</v>
      </c>
      <c r="E21" s="5">
        <v>10</v>
      </c>
      <c r="G21" t="s">
        <v>23</v>
      </c>
      <c r="H21" s="5"/>
      <c r="I21" t="s">
        <v>31</v>
      </c>
      <c r="J21" t="s">
        <v>25</v>
      </c>
      <c r="K21">
        <v>0</v>
      </c>
      <c r="L21">
        <v>0</v>
      </c>
      <c r="M21">
        <v>0</v>
      </c>
    </row>
    <row r="22" spans="1:13" x14ac:dyDescent="0.25">
      <c r="A22" t="s">
        <v>20</v>
      </c>
      <c r="B22" s="5">
        <v>2035</v>
      </c>
      <c r="C22" t="s">
        <v>29</v>
      </c>
      <c r="D22" t="s">
        <v>24</v>
      </c>
      <c r="E22" s="5">
        <v>10</v>
      </c>
      <c r="G22" t="s">
        <v>20</v>
      </c>
      <c r="H22" s="5"/>
      <c r="I22" t="s">
        <v>28</v>
      </c>
      <c r="J22" t="s">
        <v>19</v>
      </c>
      <c r="K22">
        <v>30</v>
      </c>
      <c r="L22">
        <v>28</v>
      </c>
      <c r="M22">
        <v>28</v>
      </c>
    </row>
    <row r="23" spans="1:13" x14ac:dyDescent="0.25">
      <c r="A23" t="s">
        <v>20</v>
      </c>
      <c r="B23" s="5">
        <v>2025</v>
      </c>
      <c r="C23" t="s">
        <v>29</v>
      </c>
      <c r="D23" t="s">
        <v>25</v>
      </c>
      <c r="E23" s="5">
        <v>10</v>
      </c>
      <c r="G23" t="s">
        <v>20</v>
      </c>
      <c r="H23" s="5"/>
      <c r="I23" t="s">
        <v>28</v>
      </c>
      <c r="J23" t="s">
        <v>24</v>
      </c>
      <c r="K23">
        <v>19</v>
      </c>
      <c r="L23">
        <v>18</v>
      </c>
      <c r="M23">
        <v>18</v>
      </c>
    </row>
    <row r="24" spans="1:13" x14ac:dyDescent="0.25">
      <c r="A24" t="s">
        <v>20</v>
      </c>
      <c r="B24" s="5">
        <v>2030</v>
      </c>
      <c r="C24" t="s">
        <v>29</v>
      </c>
      <c r="D24" t="s">
        <v>25</v>
      </c>
      <c r="E24" s="5">
        <v>10</v>
      </c>
      <c r="G24" t="s">
        <v>20</v>
      </c>
      <c r="H24" s="5"/>
      <c r="I24" t="s">
        <v>28</v>
      </c>
      <c r="J24" t="s">
        <v>25</v>
      </c>
      <c r="K24">
        <v>7</v>
      </c>
      <c r="L24">
        <v>7</v>
      </c>
      <c r="M24">
        <v>7</v>
      </c>
    </row>
    <row r="25" spans="1:13" x14ac:dyDescent="0.25">
      <c r="A25" t="s">
        <v>20</v>
      </c>
      <c r="B25" s="5">
        <v>2035</v>
      </c>
      <c r="C25" t="s">
        <v>29</v>
      </c>
      <c r="D25" t="s">
        <v>25</v>
      </c>
      <c r="E25" s="5">
        <v>9</v>
      </c>
      <c r="G25" t="s">
        <v>21</v>
      </c>
      <c r="H25" s="5"/>
      <c r="I25" t="s">
        <v>28</v>
      </c>
      <c r="J25" t="s">
        <v>19</v>
      </c>
      <c r="K25">
        <v>0</v>
      </c>
      <c r="L25">
        <v>2</v>
      </c>
      <c r="M25">
        <v>2</v>
      </c>
    </row>
    <row r="26" spans="1:13" x14ac:dyDescent="0.25">
      <c r="A26" t="s">
        <v>21</v>
      </c>
      <c r="B26" s="5">
        <v>2030</v>
      </c>
      <c r="C26" t="s">
        <v>29</v>
      </c>
      <c r="D26" t="s">
        <v>19</v>
      </c>
      <c r="E26" s="5">
        <v>2</v>
      </c>
      <c r="G26" t="s">
        <v>21</v>
      </c>
      <c r="H26" s="5"/>
      <c r="I26" t="s">
        <v>28</v>
      </c>
      <c r="J26" t="s">
        <v>24</v>
      </c>
      <c r="K26">
        <v>0</v>
      </c>
      <c r="L26">
        <v>1</v>
      </c>
      <c r="M26">
        <v>1</v>
      </c>
    </row>
    <row r="27" spans="1:13" x14ac:dyDescent="0.25">
      <c r="A27" t="s">
        <v>21</v>
      </c>
      <c r="B27" s="5">
        <v>2035</v>
      </c>
      <c r="C27" t="s">
        <v>29</v>
      </c>
      <c r="D27" t="s">
        <v>19</v>
      </c>
      <c r="E27" s="5">
        <v>4</v>
      </c>
      <c r="G27" t="s">
        <v>21</v>
      </c>
      <c r="H27" s="5"/>
      <c r="I27" t="s">
        <v>28</v>
      </c>
      <c r="J27" t="s">
        <v>25</v>
      </c>
      <c r="K27">
        <v>0</v>
      </c>
      <c r="L27">
        <v>0</v>
      </c>
      <c r="M27">
        <v>0</v>
      </c>
    </row>
    <row r="28" spans="1:13" x14ac:dyDescent="0.25">
      <c r="A28" t="s">
        <v>21</v>
      </c>
      <c r="B28" s="5">
        <v>2030</v>
      </c>
      <c r="C28" t="s">
        <v>29</v>
      </c>
      <c r="D28" t="s">
        <v>24</v>
      </c>
      <c r="E28" s="5">
        <v>2</v>
      </c>
      <c r="G28" t="s">
        <v>20</v>
      </c>
      <c r="H28" s="5"/>
      <c r="I28" t="s">
        <v>32</v>
      </c>
      <c r="J28" t="s">
        <v>19</v>
      </c>
      <c r="K28">
        <v>16</v>
      </c>
      <c r="L28">
        <v>14</v>
      </c>
      <c r="M28">
        <v>12</v>
      </c>
    </row>
    <row r="29" spans="1:13" x14ac:dyDescent="0.25">
      <c r="A29" t="s">
        <v>21</v>
      </c>
      <c r="B29" s="5">
        <v>2035</v>
      </c>
      <c r="C29" t="s">
        <v>29</v>
      </c>
      <c r="D29" t="s">
        <v>24</v>
      </c>
      <c r="E29" s="5">
        <v>3</v>
      </c>
      <c r="G29" t="s">
        <v>20</v>
      </c>
      <c r="H29" s="5"/>
      <c r="I29" t="s">
        <v>32</v>
      </c>
      <c r="J29" t="s">
        <v>24</v>
      </c>
      <c r="K29">
        <v>8</v>
      </c>
      <c r="L29">
        <v>7</v>
      </c>
      <c r="M29">
        <v>6</v>
      </c>
    </row>
    <row r="30" spans="1:13" x14ac:dyDescent="0.25">
      <c r="A30" t="s">
        <v>21</v>
      </c>
      <c r="B30" s="5">
        <v>2030</v>
      </c>
      <c r="C30" t="s">
        <v>29</v>
      </c>
      <c r="D30" t="s">
        <v>25</v>
      </c>
      <c r="E30" s="5">
        <v>1</v>
      </c>
      <c r="G30" t="s">
        <v>20</v>
      </c>
      <c r="H30" s="5"/>
      <c r="I30" t="s">
        <v>32</v>
      </c>
      <c r="J30" t="s">
        <v>25</v>
      </c>
      <c r="K30">
        <v>12</v>
      </c>
      <c r="L30">
        <v>12</v>
      </c>
      <c r="M30">
        <v>12</v>
      </c>
    </row>
    <row r="31" spans="1:13" x14ac:dyDescent="0.25">
      <c r="A31" t="s">
        <v>21</v>
      </c>
      <c r="B31" s="5">
        <v>2035</v>
      </c>
      <c r="C31" t="s">
        <v>29</v>
      </c>
      <c r="D31" t="s">
        <v>25</v>
      </c>
      <c r="E31" s="5">
        <v>2</v>
      </c>
      <c r="G31" t="s">
        <v>21</v>
      </c>
      <c r="H31" s="5"/>
      <c r="I31" t="s">
        <v>32</v>
      </c>
      <c r="J31" t="s">
        <v>19</v>
      </c>
      <c r="K31">
        <v>2</v>
      </c>
      <c r="L31">
        <v>4</v>
      </c>
      <c r="M31">
        <v>6</v>
      </c>
    </row>
    <row r="32" spans="1:13" x14ac:dyDescent="0.25">
      <c r="A32" t="s">
        <v>23</v>
      </c>
      <c r="B32" s="5">
        <v>2030</v>
      </c>
      <c r="C32" t="s">
        <v>31</v>
      </c>
      <c r="D32" t="s">
        <v>19</v>
      </c>
      <c r="E32" s="5">
        <v>1</v>
      </c>
      <c r="G32" t="s">
        <v>21</v>
      </c>
      <c r="H32" s="5"/>
      <c r="I32" t="s">
        <v>32</v>
      </c>
      <c r="J32" t="s">
        <v>24</v>
      </c>
      <c r="K32">
        <v>0</v>
      </c>
      <c r="L32">
        <v>1</v>
      </c>
      <c r="M32">
        <v>2</v>
      </c>
    </row>
    <row r="33" spans="1:13" x14ac:dyDescent="0.25">
      <c r="A33" t="s">
        <v>23</v>
      </c>
      <c r="B33" s="5">
        <v>2035</v>
      </c>
      <c r="C33" t="s">
        <v>31</v>
      </c>
      <c r="D33" t="s">
        <v>19</v>
      </c>
      <c r="E33" s="5">
        <v>6</v>
      </c>
      <c r="G33" t="s">
        <v>21</v>
      </c>
      <c r="H33" s="5"/>
      <c r="I33" t="s">
        <v>32</v>
      </c>
      <c r="J33" t="s">
        <v>25</v>
      </c>
      <c r="K33">
        <v>0</v>
      </c>
      <c r="L33">
        <v>0</v>
      </c>
      <c r="M33">
        <v>0</v>
      </c>
    </row>
    <row r="34" spans="1:13" x14ac:dyDescent="0.25">
      <c r="A34" t="s">
        <v>23</v>
      </c>
      <c r="B34" s="5">
        <v>2030</v>
      </c>
      <c r="C34" t="s">
        <v>31</v>
      </c>
      <c r="D34" t="s">
        <v>24</v>
      </c>
      <c r="E34" s="5">
        <v>0</v>
      </c>
    </row>
    <row r="35" spans="1:13" x14ac:dyDescent="0.25">
      <c r="A35" t="s">
        <v>23</v>
      </c>
      <c r="B35" s="5">
        <v>2035</v>
      </c>
      <c r="C35" t="s">
        <v>31</v>
      </c>
      <c r="D35" t="s">
        <v>24</v>
      </c>
      <c r="E35" s="5">
        <v>1</v>
      </c>
    </row>
    <row r="36" spans="1:13" x14ac:dyDescent="0.25">
      <c r="A36" t="s">
        <v>23</v>
      </c>
      <c r="B36" s="5">
        <v>2030</v>
      </c>
      <c r="C36" t="s">
        <v>31</v>
      </c>
      <c r="D36" t="s">
        <v>25</v>
      </c>
      <c r="E36" s="5">
        <v>0</v>
      </c>
    </row>
    <row r="37" spans="1:13" x14ac:dyDescent="0.25">
      <c r="A37" t="s">
        <v>23</v>
      </c>
      <c r="B37" s="5">
        <v>2035</v>
      </c>
      <c r="C37" t="s">
        <v>31</v>
      </c>
      <c r="D37" t="s">
        <v>25</v>
      </c>
      <c r="E37" s="5">
        <v>0</v>
      </c>
    </row>
    <row r="38" spans="1:13" x14ac:dyDescent="0.25">
      <c r="A38" t="s">
        <v>20</v>
      </c>
      <c r="B38" s="5">
        <v>2025</v>
      </c>
      <c r="C38" t="s">
        <v>31</v>
      </c>
      <c r="D38" t="s">
        <v>19</v>
      </c>
      <c r="E38" s="5">
        <v>12</v>
      </c>
    </row>
    <row r="39" spans="1:13" x14ac:dyDescent="0.25">
      <c r="A39" t="s">
        <v>20</v>
      </c>
      <c r="B39" s="5">
        <v>2030</v>
      </c>
      <c r="C39" t="s">
        <v>31</v>
      </c>
      <c r="D39" t="s">
        <v>19</v>
      </c>
      <c r="E39" s="5">
        <v>12</v>
      </c>
    </row>
    <row r="40" spans="1:13" x14ac:dyDescent="0.25">
      <c r="A40" t="s">
        <v>20</v>
      </c>
      <c r="B40" s="5">
        <v>2035</v>
      </c>
      <c r="C40" t="s">
        <v>31</v>
      </c>
      <c r="D40" t="s">
        <v>19</v>
      </c>
      <c r="E40" s="5">
        <v>7</v>
      </c>
    </row>
    <row r="41" spans="1:13" x14ac:dyDescent="0.25">
      <c r="A41" t="s">
        <v>20</v>
      </c>
      <c r="B41" s="5">
        <v>2025</v>
      </c>
      <c r="C41" t="s">
        <v>31</v>
      </c>
      <c r="D41" t="s">
        <v>24</v>
      </c>
      <c r="E41" s="5">
        <v>7</v>
      </c>
    </row>
    <row r="42" spans="1:13" x14ac:dyDescent="0.25">
      <c r="A42" t="s">
        <v>20</v>
      </c>
      <c r="B42" s="5">
        <v>2030</v>
      </c>
      <c r="C42" t="s">
        <v>31</v>
      </c>
      <c r="D42" t="s">
        <v>24</v>
      </c>
      <c r="E42" s="5">
        <v>7</v>
      </c>
    </row>
    <row r="43" spans="1:13" x14ac:dyDescent="0.25">
      <c r="A43" t="s">
        <v>20</v>
      </c>
      <c r="B43" s="5">
        <v>2035</v>
      </c>
      <c r="C43" t="s">
        <v>31</v>
      </c>
      <c r="D43" t="s">
        <v>24</v>
      </c>
      <c r="E43" s="5">
        <v>7</v>
      </c>
    </row>
    <row r="44" spans="1:13" x14ac:dyDescent="0.25">
      <c r="A44" t="s">
        <v>20</v>
      </c>
      <c r="B44" s="5">
        <v>2025</v>
      </c>
      <c r="C44" t="s">
        <v>31</v>
      </c>
      <c r="D44" t="s">
        <v>25</v>
      </c>
      <c r="E44" s="5">
        <v>8</v>
      </c>
    </row>
    <row r="45" spans="1:13" x14ac:dyDescent="0.25">
      <c r="A45" t="s">
        <v>20</v>
      </c>
      <c r="B45" s="5">
        <v>2030</v>
      </c>
      <c r="C45" t="s">
        <v>31</v>
      </c>
      <c r="D45" t="s">
        <v>25</v>
      </c>
      <c r="E45" s="5">
        <v>8</v>
      </c>
    </row>
    <row r="46" spans="1:13" x14ac:dyDescent="0.25">
      <c r="A46" t="s">
        <v>20</v>
      </c>
      <c r="B46" s="5">
        <v>2035</v>
      </c>
      <c r="C46" t="s">
        <v>31</v>
      </c>
      <c r="D46" t="s">
        <v>25</v>
      </c>
      <c r="E46" s="5">
        <v>8</v>
      </c>
    </row>
    <row r="47" spans="1:13" x14ac:dyDescent="0.25">
      <c r="A47" t="s">
        <v>20</v>
      </c>
      <c r="B47" s="5">
        <v>2025</v>
      </c>
      <c r="C47" t="s">
        <v>28</v>
      </c>
      <c r="D47" t="s">
        <v>19</v>
      </c>
      <c r="E47" s="5">
        <v>30</v>
      </c>
    </row>
    <row r="48" spans="1:13" x14ac:dyDescent="0.25">
      <c r="A48" t="s">
        <v>20</v>
      </c>
      <c r="B48" s="5">
        <v>2030</v>
      </c>
      <c r="C48" t="s">
        <v>28</v>
      </c>
      <c r="D48" t="s">
        <v>19</v>
      </c>
      <c r="E48" s="5">
        <v>28</v>
      </c>
    </row>
    <row r="49" spans="1:5" x14ac:dyDescent="0.25">
      <c r="A49" t="s">
        <v>20</v>
      </c>
      <c r="B49" s="5">
        <v>2035</v>
      </c>
      <c r="C49" t="s">
        <v>28</v>
      </c>
      <c r="D49" t="s">
        <v>19</v>
      </c>
      <c r="E49" s="5">
        <v>28</v>
      </c>
    </row>
    <row r="50" spans="1:5" x14ac:dyDescent="0.25">
      <c r="A50" t="s">
        <v>20</v>
      </c>
      <c r="B50" s="5">
        <v>2025</v>
      </c>
      <c r="C50" t="s">
        <v>28</v>
      </c>
      <c r="D50" t="s">
        <v>24</v>
      </c>
      <c r="E50" s="5">
        <v>19</v>
      </c>
    </row>
    <row r="51" spans="1:5" x14ac:dyDescent="0.25">
      <c r="A51" t="s">
        <v>20</v>
      </c>
      <c r="B51" s="5">
        <v>2030</v>
      </c>
      <c r="C51" t="s">
        <v>28</v>
      </c>
      <c r="D51" t="s">
        <v>24</v>
      </c>
      <c r="E51" s="5">
        <v>18</v>
      </c>
    </row>
    <row r="52" spans="1:5" x14ac:dyDescent="0.25">
      <c r="A52" t="s">
        <v>20</v>
      </c>
      <c r="B52" s="5">
        <v>2035</v>
      </c>
      <c r="C52" t="s">
        <v>28</v>
      </c>
      <c r="D52" t="s">
        <v>24</v>
      </c>
      <c r="E52" s="5">
        <v>18</v>
      </c>
    </row>
    <row r="53" spans="1:5" x14ac:dyDescent="0.25">
      <c r="A53" t="s">
        <v>20</v>
      </c>
      <c r="B53" s="5">
        <v>2025</v>
      </c>
      <c r="C53" t="s">
        <v>28</v>
      </c>
      <c r="D53" t="s">
        <v>25</v>
      </c>
      <c r="E53" s="5">
        <v>7</v>
      </c>
    </row>
    <row r="54" spans="1:5" x14ac:dyDescent="0.25">
      <c r="A54" t="s">
        <v>20</v>
      </c>
      <c r="B54" s="5">
        <v>2030</v>
      </c>
      <c r="C54" t="s">
        <v>28</v>
      </c>
      <c r="D54" t="s">
        <v>25</v>
      </c>
      <c r="E54" s="5">
        <v>7</v>
      </c>
    </row>
    <row r="55" spans="1:5" x14ac:dyDescent="0.25">
      <c r="A55" t="s">
        <v>20</v>
      </c>
      <c r="B55" s="5">
        <v>2035</v>
      </c>
      <c r="C55" t="s">
        <v>28</v>
      </c>
      <c r="D55" t="s">
        <v>25</v>
      </c>
      <c r="E55" s="5">
        <v>7</v>
      </c>
    </row>
    <row r="56" spans="1:5" x14ac:dyDescent="0.25">
      <c r="A56" t="s">
        <v>21</v>
      </c>
      <c r="B56" s="5">
        <v>2030</v>
      </c>
      <c r="C56" t="s">
        <v>28</v>
      </c>
      <c r="D56" t="s">
        <v>19</v>
      </c>
      <c r="E56" s="5">
        <v>2</v>
      </c>
    </row>
    <row r="57" spans="1:5" x14ac:dyDescent="0.25">
      <c r="A57" t="s">
        <v>21</v>
      </c>
      <c r="B57" s="5">
        <v>2035</v>
      </c>
      <c r="C57" t="s">
        <v>28</v>
      </c>
      <c r="D57" t="s">
        <v>19</v>
      </c>
      <c r="E57" s="5">
        <v>2</v>
      </c>
    </row>
    <row r="58" spans="1:5" x14ac:dyDescent="0.25">
      <c r="A58" t="s">
        <v>21</v>
      </c>
      <c r="B58" s="5">
        <v>2030</v>
      </c>
      <c r="C58" t="s">
        <v>28</v>
      </c>
      <c r="D58" t="s">
        <v>24</v>
      </c>
      <c r="E58" s="5">
        <v>1</v>
      </c>
    </row>
    <row r="59" spans="1:5" x14ac:dyDescent="0.25">
      <c r="A59" t="s">
        <v>21</v>
      </c>
      <c r="B59" s="5">
        <v>2035</v>
      </c>
      <c r="C59" t="s">
        <v>28</v>
      </c>
      <c r="D59" t="s">
        <v>24</v>
      </c>
      <c r="E59" s="5">
        <v>1</v>
      </c>
    </row>
    <row r="60" spans="1:5" x14ac:dyDescent="0.25">
      <c r="A60" t="s">
        <v>21</v>
      </c>
      <c r="B60" s="5">
        <v>2030</v>
      </c>
      <c r="C60" t="s">
        <v>28</v>
      </c>
      <c r="D60" t="s">
        <v>25</v>
      </c>
      <c r="E60" s="5">
        <v>0</v>
      </c>
    </row>
    <row r="61" spans="1:5" x14ac:dyDescent="0.25">
      <c r="A61" t="s">
        <v>21</v>
      </c>
      <c r="B61" s="5">
        <v>2035</v>
      </c>
      <c r="C61" t="s">
        <v>28</v>
      </c>
      <c r="D61" t="s">
        <v>25</v>
      </c>
      <c r="E61" s="5">
        <v>0</v>
      </c>
    </row>
    <row r="62" spans="1:5" x14ac:dyDescent="0.25">
      <c r="A62" t="s">
        <v>20</v>
      </c>
      <c r="B62" s="5">
        <v>2025</v>
      </c>
      <c r="C62" t="s">
        <v>32</v>
      </c>
      <c r="D62" t="s">
        <v>19</v>
      </c>
      <c r="E62" s="5">
        <v>16</v>
      </c>
    </row>
    <row r="63" spans="1:5" x14ac:dyDescent="0.25">
      <c r="A63" t="s">
        <v>20</v>
      </c>
      <c r="B63" s="5">
        <v>2030</v>
      </c>
      <c r="C63" t="s">
        <v>32</v>
      </c>
      <c r="D63" t="s">
        <v>19</v>
      </c>
      <c r="E63" s="5">
        <v>14</v>
      </c>
    </row>
    <row r="64" spans="1:5" x14ac:dyDescent="0.25">
      <c r="A64" t="s">
        <v>20</v>
      </c>
      <c r="B64" s="5">
        <v>2035</v>
      </c>
      <c r="C64" t="s">
        <v>32</v>
      </c>
      <c r="D64" t="s">
        <v>19</v>
      </c>
      <c r="E64" s="5">
        <v>12</v>
      </c>
    </row>
    <row r="65" spans="1:5" x14ac:dyDescent="0.25">
      <c r="A65" t="s">
        <v>20</v>
      </c>
      <c r="B65" s="5">
        <v>2025</v>
      </c>
      <c r="C65" t="s">
        <v>32</v>
      </c>
      <c r="D65" t="s">
        <v>24</v>
      </c>
      <c r="E65" s="5">
        <v>8</v>
      </c>
    </row>
    <row r="66" spans="1:5" x14ac:dyDescent="0.25">
      <c r="A66" t="s">
        <v>20</v>
      </c>
      <c r="B66" s="5">
        <v>2030</v>
      </c>
      <c r="C66" t="s">
        <v>32</v>
      </c>
      <c r="D66" t="s">
        <v>24</v>
      </c>
      <c r="E66" s="5">
        <v>7</v>
      </c>
    </row>
    <row r="67" spans="1:5" x14ac:dyDescent="0.25">
      <c r="A67" t="s">
        <v>20</v>
      </c>
      <c r="B67" s="5">
        <v>2035</v>
      </c>
      <c r="C67" t="s">
        <v>32</v>
      </c>
      <c r="D67" t="s">
        <v>24</v>
      </c>
      <c r="E67" s="5">
        <v>6</v>
      </c>
    </row>
    <row r="68" spans="1:5" x14ac:dyDescent="0.25">
      <c r="A68" t="s">
        <v>20</v>
      </c>
      <c r="B68" s="5">
        <v>2025</v>
      </c>
      <c r="C68" t="s">
        <v>32</v>
      </c>
      <c r="D68" t="s">
        <v>25</v>
      </c>
      <c r="E68" s="5">
        <v>12</v>
      </c>
    </row>
    <row r="69" spans="1:5" x14ac:dyDescent="0.25">
      <c r="A69" t="s">
        <v>20</v>
      </c>
      <c r="B69" s="5">
        <v>2030</v>
      </c>
      <c r="C69" t="s">
        <v>32</v>
      </c>
      <c r="D69" t="s">
        <v>25</v>
      </c>
      <c r="E69" s="5">
        <v>12</v>
      </c>
    </row>
    <row r="70" spans="1:5" x14ac:dyDescent="0.25">
      <c r="A70" t="s">
        <v>20</v>
      </c>
      <c r="B70" s="5">
        <v>2035</v>
      </c>
      <c r="C70" t="s">
        <v>32</v>
      </c>
      <c r="D70" t="s">
        <v>25</v>
      </c>
      <c r="E70" s="5">
        <v>12</v>
      </c>
    </row>
    <row r="71" spans="1:5" x14ac:dyDescent="0.25">
      <c r="A71" t="s">
        <v>21</v>
      </c>
      <c r="B71" s="5">
        <v>2025</v>
      </c>
      <c r="C71" t="s">
        <v>32</v>
      </c>
      <c r="D71" t="s">
        <v>19</v>
      </c>
      <c r="E71" s="5">
        <v>2</v>
      </c>
    </row>
    <row r="72" spans="1:5" x14ac:dyDescent="0.25">
      <c r="A72" t="s">
        <v>21</v>
      </c>
      <c r="B72" s="5">
        <v>2030</v>
      </c>
      <c r="C72" t="s">
        <v>32</v>
      </c>
      <c r="D72" t="s">
        <v>19</v>
      </c>
      <c r="E72" s="5">
        <v>4</v>
      </c>
    </row>
    <row r="73" spans="1:5" x14ac:dyDescent="0.25">
      <c r="A73" t="s">
        <v>21</v>
      </c>
      <c r="B73" s="5">
        <v>2035</v>
      </c>
      <c r="C73" t="s">
        <v>32</v>
      </c>
      <c r="D73" t="s">
        <v>19</v>
      </c>
      <c r="E73" s="5">
        <v>6</v>
      </c>
    </row>
    <row r="74" spans="1:5" x14ac:dyDescent="0.25">
      <c r="A74" t="s">
        <v>21</v>
      </c>
      <c r="B74" s="5">
        <v>2025</v>
      </c>
      <c r="C74" t="s">
        <v>32</v>
      </c>
      <c r="D74" t="s">
        <v>24</v>
      </c>
      <c r="E74" s="5">
        <v>0</v>
      </c>
    </row>
    <row r="75" spans="1:5" x14ac:dyDescent="0.25">
      <c r="A75" t="s">
        <v>21</v>
      </c>
      <c r="B75" s="5">
        <v>2030</v>
      </c>
      <c r="C75" t="s">
        <v>32</v>
      </c>
      <c r="D75" t="s">
        <v>24</v>
      </c>
      <c r="E75" s="5">
        <v>1</v>
      </c>
    </row>
    <row r="76" spans="1:5" x14ac:dyDescent="0.25">
      <c r="A76" t="s">
        <v>21</v>
      </c>
      <c r="B76" s="5">
        <v>2035</v>
      </c>
      <c r="C76" t="s">
        <v>32</v>
      </c>
      <c r="D76" t="s">
        <v>24</v>
      </c>
      <c r="E76" s="5">
        <v>2</v>
      </c>
    </row>
    <row r="77" spans="1:5" x14ac:dyDescent="0.25">
      <c r="A77" t="s">
        <v>21</v>
      </c>
      <c r="B77" s="5">
        <v>2025</v>
      </c>
      <c r="C77" t="s">
        <v>32</v>
      </c>
      <c r="D77" t="s">
        <v>25</v>
      </c>
      <c r="E77" s="5">
        <v>0</v>
      </c>
    </row>
    <row r="78" spans="1:5" x14ac:dyDescent="0.25">
      <c r="A78" t="s">
        <v>21</v>
      </c>
      <c r="B78" s="5">
        <v>2030</v>
      </c>
      <c r="C78" t="s">
        <v>32</v>
      </c>
      <c r="D78" t="s">
        <v>25</v>
      </c>
      <c r="E78" s="5">
        <v>0</v>
      </c>
    </row>
    <row r="79" spans="1:5" x14ac:dyDescent="0.25">
      <c r="A79" t="s">
        <v>21</v>
      </c>
      <c r="B79" s="5">
        <v>2035</v>
      </c>
      <c r="C79" t="s">
        <v>32</v>
      </c>
      <c r="D79" t="s">
        <v>25</v>
      </c>
      <c r="E79" s="5">
        <v>0</v>
      </c>
    </row>
  </sheetData>
  <autoFilter ref="G3:M33" xr:uid="{00000000-0009-0000-0000-000001000000}"/>
  <mergeCells count="2">
    <mergeCell ref="K2:M2"/>
    <mergeCell ref="P10:R10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F4"/>
  <sheetViews>
    <sheetView workbookViewId="0">
      <selection activeCell="F21" sqref="F21"/>
    </sheetView>
  </sheetViews>
  <sheetFormatPr defaultColWidth="11.42578125" defaultRowHeight="15" x14ac:dyDescent="0.25"/>
  <cols>
    <col min="4" max="4" width="12.42578125" bestFit="1" customWidth="1"/>
  </cols>
  <sheetData>
    <row r="1" spans="1:6" ht="15.75" thickBot="1" x14ac:dyDescent="0.3">
      <c r="A1" s="6" t="s">
        <v>3</v>
      </c>
      <c r="B1" s="6" t="s">
        <v>0</v>
      </c>
      <c r="C1" s="7" t="s">
        <v>34</v>
      </c>
      <c r="D1" s="7" t="s">
        <v>35</v>
      </c>
      <c r="E1" s="7" t="s">
        <v>36</v>
      </c>
      <c r="F1" s="7" t="s">
        <v>37</v>
      </c>
    </row>
    <row r="2" spans="1:6" ht="15.75" thickTop="1" x14ac:dyDescent="0.25">
      <c r="A2" s="8" t="s">
        <v>20</v>
      </c>
      <c r="B2" s="8" t="s">
        <v>19</v>
      </c>
      <c r="C2" s="9">
        <v>517.5</v>
      </c>
      <c r="D2" s="9">
        <v>21.64</v>
      </c>
      <c r="E2" s="10">
        <f>+F2/12</f>
        <v>3150</v>
      </c>
      <c r="F2" s="10">
        <v>37800</v>
      </c>
    </row>
    <row r="3" spans="1:6" x14ac:dyDescent="0.25">
      <c r="A3" s="11" t="s">
        <v>20</v>
      </c>
      <c r="B3" s="11" t="s">
        <v>24</v>
      </c>
      <c r="C3" s="12">
        <v>726.58</v>
      </c>
      <c r="D3" s="12">
        <v>24.7</v>
      </c>
      <c r="E3" s="13">
        <f>+F3/12</f>
        <v>3780</v>
      </c>
      <c r="F3" s="13">
        <v>45360</v>
      </c>
    </row>
    <row r="4" spans="1:6" x14ac:dyDescent="0.25">
      <c r="A4" s="8" t="s">
        <v>20</v>
      </c>
      <c r="B4" s="8" t="s">
        <v>25</v>
      </c>
      <c r="C4" s="9">
        <v>733.31</v>
      </c>
      <c r="D4" s="9">
        <v>26.35</v>
      </c>
      <c r="E4" s="10">
        <f>+F4/12</f>
        <v>7350</v>
      </c>
      <c r="F4" s="10">
        <v>88200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vehicle_data_set</vt:lpstr>
      <vt:lpstr>Proyeccion</vt:lpstr>
      <vt:lpstr>Datos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V.G.</dc:creator>
  <cp:lastModifiedBy>donato azzarone</cp:lastModifiedBy>
  <dcterms:created xsi:type="dcterms:W3CDTF">2025-10-20T09:22:20Z</dcterms:created>
  <dcterms:modified xsi:type="dcterms:W3CDTF">2025-11-17T06:04:34Z</dcterms:modified>
</cp:coreProperties>
</file>